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souro-my.sharepoint.com/personal/eduardo_leitner_tesouro_gov_br1/Documents/Documentos/cursos/FISLAC/Sessão 5 - Estimação bayesiana de modelos DSGE/Código-Material/"/>
    </mc:Choice>
  </mc:AlternateContent>
  <xr:revisionPtr revIDLastSave="6" documentId="13_ncr:1_{0FAF99A6-9CDD-4E3C-8AE0-644457D29B10}" xr6:coauthVersionLast="47" xr6:coauthVersionMax="47" xr10:uidLastSave="{AC33DC24-C1A8-4B41-8925-84F23CD2F611}"/>
  <bookViews>
    <workbookView xWindow="-98" yWindow="-98" windowWidth="21795" windowHeight="12975" activeTab="3" xr2:uid="{52D9C27D-0EF6-DD41-9728-0267E68F7539}"/>
  </bookViews>
  <sheets>
    <sheet name="Forecast" sheetId="1" r:id="rId1"/>
    <sheet name="Smooth" sheetId="4" r:id="rId2"/>
    <sheet name="Results" sheetId="3" r:id="rId3"/>
    <sheet name="Plot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<sst xmlns="http://schemas.openxmlformats.org/spreadsheetml/2006/main" uniqueCount="29">
  <si>
    <t>Consumo privado</t>
  </si>
  <si>
    <t>Retorno do capital</t>
  </si>
  <si>
    <t>Trabalho</t>
  </si>
  <si>
    <t>Capital privado</t>
  </si>
  <si>
    <t>Investimento privado</t>
  </si>
  <si>
    <t>Produto</t>
  </si>
  <si>
    <t>Taxa de salário</t>
  </si>
  <si>
    <t>Taxa de retorno dos ativos financeiros</t>
  </si>
  <si>
    <t>Produtividade Total dos Fatores</t>
  </si>
  <si>
    <t>Dívida bruta do governo</t>
  </si>
  <si>
    <t>Receita fiscal</t>
  </si>
  <si>
    <t>Taxa de imposto sobre consumo</t>
  </si>
  <si>
    <t>Taxa de imposto sobre salário</t>
  </si>
  <si>
    <t>Taxa de imposto sobre a renda do capital</t>
  </si>
  <si>
    <t>Imposto Lump-Sum</t>
  </si>
  <si>
    <t>Gasto primário</t>
  </si>
  <si>
    <t>Consumo público corrente</t>
  </si>
  <si>
    <t>Investimento público</t>
  </si>
  <si>
    <t>Capital público</t>
  </si>
  <si>
    <t>Resultado primário</t>
  </si>
  <si>
    <t>Ajuste Estoque-Fluxo</t>
  </si>
  <si>
    <t>Dívida como proporção do PIB</t>
  </si>
  <si>
    <t>Gasto primário como proporção do PIB</t>
  </si>
  <si>
    <t>Receita fiscal como proporção do PIB</t>
  </si>
  <si>
    <t>Resultado primário como proporção do PIB</t>
  </si>
  <si>
    <t>Crescimento do PIB</t>
  </si>
  <si>
    <t>Observado</t>
  </si>
  <si>
    <t>Prognóstico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</si>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</sst>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64" fontId="0" fillId="0" borderId="0" xfId="1" applyNumberFormat="1" applyFont="1" applyFill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
</file>

<file path=xl/charts/_rels/chart1.xml.rels><?xml version="1.0" encoding="UTF-8" standalone="yes"?>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
</file>

<file path=xl/charts/_rels/chart2.xml.rels><?xml version="1.0" encoding="UTF-8" standalone="yes"?>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
</file>

<file path=xl/charts/_rels/chart3.xml.rels><?xml version="1.0" encoding="UTF-8" standalone="yes"?>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
</file>

<file path=xl/charts/_rels/chart4.xml.rels><?xml version="1.0" encoding="UTF-8" standalone="yes"?>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
</file>

<file path=xl/charts/_rels/chart5.xml.rels><?xml version="1.0" encoding="UTF-8" standalone="yes"?>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Results!$B$1</c:f>
              <c:strCache>
                <c:ptCount val="1"/>
                <c:pt idx="0">
                  <c:v>Observado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F59-4CF3-B7AB-3063B7A10F23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59-4CF3-B7AB-3063B7A10F23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59-4CF3-B7AB-3063B7A10F23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F59-4CF3-B7AB-3063B7A10F23}"/>
                </c:ext>
              </c:extLst>
            </c:dLbl>
            <c:dLbl>
              <c:idx val="8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F59-4CF3-B7AB-3063B7A10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Results!$A$3:$A$88</c15:sqref>
                  </c15:fullRef>
                </c:ext>
              </c:extLst>
              <c:f>Results!$A$17:$A$88</c:f>
              <c:numCache>
                <c:formatCode>General</c:formatCode>
                <c:ptCount val="7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Results!$Z$3:$Z$36</c15:sqref>
                  </c15:fullRef>
                </c:ext>
              </c:extLst>
              <c:f>Results!$Z$17:$Z$36</c:f>
              <c:numCache>
                <c:formatCode>0.0%</c:formatCode>
                <c:ptCount val="20"/>
                <c:pt idx="0">
                  <c:v>-8.527300000000005E-3</c:v>
                </c:pt>
                <c:pt idx="1">
                  <c:v>-2.0075899999999994E-2</c:v>
                </c:pt>
                <c:pt idx="2">
                  <c:v>-1.6245699999999925E-2</c:v>
                </c:pt>
                <c:pt idx="3">
                  <c:v>-8.6690999999999435E-3</c:v>
                </c:pt>
                <c:pt idx="4">
                  <c:v>-8.2769999999997464E-4</c:v>
                </c:pt>
                <c:pt idx="5">
                  <c:v>-7.535859999999997E-2</c:v>
                </c:pt>
                <c:pt idx="6">
                  <c:v>1.9785300000000047E-2</c:v>
                </c:pt>
                <c:pt idx="7">
                  <c:v>1.3068100000000017E-2</c:v>
                </c:pt>
                <c:pt idx="8">
                  <c:v>-2.1676100000000018E-2</c:v>
                </c:pt>
                <c:pt idx="9">
                  <c:v>-2.1935999999999883E-3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52-4060-9D01-22C061D9E06A}"/>
            </c:ext>
          </c:extLst>
        </c:ser>
        <c:ser>
          <c:idx val="1"/>
          <c:order val="1"/>
          <c:tx>
            <c:strRef>
              <c:f>Results!$AC$1</c:f>
              <c:strCache>
                <c:ptCount val="1"/>
                <c:pt idx="0">
                  <c:v>Prognóstico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dash"/>
              </a:ln>
              <a:effectLst/>
            </c:spPr>
          </c:marker>
          <c:dLbls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20-4BA5-B4B4-5E56A2FDD617}"/>
                </c:ext>
              </c:extLst>
            </c:dLbl>
            <c:dLbl>
              <c:idx val="1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59-4CF3-B7AB-3063B7A10F23}"/>
                </c:ext>
              </c:extLst>
            </c:dLbl>
            <c:dLbl>
              <c:idx val="1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F59-4CF3-B7AB-3063B7A10F23}"/>
                </c:ext>
              </c:extLst>
            </c:dLbl>
            <c:dLbl>
              <c:idx val="1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20-4BA5-B4B4-5E56A2FDD6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Results!$A$3:$A$88</c15:sqref>
                  </c15:fullRef>
                </c:ext>
              </c:extLst>
              <c:f>Results!$A$17:$A$88</c:f>
              <c:numCache>
                <c:formatCode>General</c:formatCode>
                <c:ptCount val="7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Results!$BA$3:$BA$36</c15:sqref>
                  </c15:fullRef>
                </c:ext>
              </c:extLst>
              <c:f>Results!$BA$17:$BA$36</c:f>
              <c:numCache>
                <c:formatCode>General</c:formatCode>
                <c:ptCount val="20"/>
                <c:pt idx="9" formatCode="0.0%">
                  <c:v>-2.1935999999999883E-3</c:v>
                </c:pt>
                <c:pt idx="10" formatCode="0.0%">
                  <c:v>1.2035007249253877E-3</c:v>
                </c:pt>
                <c:pt idx="11" formatCode="0.0%">
                  <c:v>3.1761573720704016E-3</c:v>
                </c:pt>
                <c:pt idx="12" formatCode="0.0%">
                  <c:v>4.2059706582175116E-3</c:v>
                </c:pt>
                <c:pt idx="13" formatCode="0.0%">
                  <c:v>4.6681977639097417E-3</c:v>
                </c:pt>
                <c:pt idx="14" formatCode="0.0%">
                  <c:v>4.8092854481387153E-3</c:v>
                </c:pt>
                <c:pt idx="15" formatCode="0.0%">
                  <c:v>4.7782692625109417E-3</c:v>
                </c:pt>
                <c:pt idx="16" formatCode="0.0%">
                  <c:v>4.6609190886144789E-3</c:v>
                </c:pt>
                <c:pt idx="17" formatCode="0.0%">
                  <c:v>4.504883855412368E-3</c:v>
                </c:pt>
                <c:pt idx="18" formatCode="0.0%">
                  <c:v>4.3358392374392898E-3</c:v>
                </c:pt>
                <c:pt idx="19" formatCode="0.0%">
                  <c:v>4.1671648122028919E-3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52-4060-9D01-22C061D9E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562448"/>
        <c:axId val="2111564368"/>
      </c:lineChart>
      <c:catAx>
        <c:axId val="211156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ES"/>
          </a:p>
        </c:txPr>
        <c:crossAx val="2111564368"/>
        <c:crosses val="autoZero"/>
        <c:auto val="1"/>
        <c:lblAlgn val="ctr"/>
        <c:lblOffset val="100"/>
        <c:noMultiLvlLbl val="0"/>
      </c:catAx>
      <c:valAx>
        <c:axId val="211156436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ES"/>
          </a:p>
        </c:txPr>
        <c:crossAx val="211156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Results!$B$1</c:f>
              <c:strCache>
                <c:ptCount val="1"/>
                <c:pt idx="0">
                  <c:v>Observado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98-4944-B668-2EA8EE6BDE9F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98-4944-B668-2EA8EE6BDE9F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98-4944-B668-2EA8EE6BDE9F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98-4944-B668-2EA8EE6BDE9F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98-4944-B668-2EA8EE6BDE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Results!$A$3:$A$36</c15:sqref>
                  </c15:fullRef>
                </c:ext>
              </c:extLst>
              <c:f>Results!$A$17:$A$36</c:f>
              <c:numCache>
                <c:formatCode>General</c:formatCode>
                <c:ptCount val="2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Results!$AA$3:$AA$36</c15:sqref>
                  </c15:fullRef>
                </c:ext>
              </c:extLst>
              <c:f>Results!$AA$17:$AA$36</c:f>
              <c:numCache>
                <c:formatCode>0.0%</c:formatCode>
                <c:ptCount val="20"/>
                <c:pt idx="0">
                  <c:v>-3.5491931000000004E-2</c:v>
                </c:pt>
                <c:pt idx="1">
                  <c:v>-3.2726919000000035E-2</c:v>
                </c:pt>
                <c:pt idx="2">
                  <c:v>1.4359861999999996E-2</c:v>
                </c:pt>
                <c:pt idx="3">
                  <c:v>1.5692792999999993E-2</c:v>
                </c:pt>
                <c:pt idx="4">
                  <c:v>1.4015588000000016E-2</c:v>
                </c:pt>
                <c:pt idx="5">
                  <c:v>-3.3425224999999989E-2</c:v>
                </c:pt>
                <c:pt idx="6">
                  <c:v>4.7600752999999982E-2</c:v>
                </c:pt>
                <c:pt idx="7">
                  <c:v>3.0169652000000002E-2</c:v>
                </c:pt>
                <c:pt idx="8">
                  <c:v>3.2411622000000022E-2</c:v>
                </c:pt>
                <c:pt idx="9">
                  <c:v>3.3938882999999996E-2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97-4DC2-B89B-05B1B9EC1941}"/>
            </c:ext>
          </c:extLst>
        </c:ser>
        <c:ser>
          <c:idx val="1"/>
          <c:order val="1"/>
          <c:tx>
            <c:strRef>
              <c:f>Results!$AC$1</c:f>
              <c:strCache>
                <c:ptCount val="1"/>
                <c:pt idx="0">
                  <c:v>Prognóstico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dash"/>
              </a:ln>
              <a:effectLst/>
            </c:spPr>
          </c:marker>
          <c:dLbls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BB-4D7D-BD7A-3666A213471B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198-4944-B668-2EA8EE6BDE9F}"/>
                </c:ext>
              </c:extLst>
            </c:dLbl>
            <c:dLbl>
              <c:idx val="1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DE-4299-B1A2-26D5C49DC3F8}"/>
                </c:ext>
              </c:extLst>
            </c:dLbl>
            <c:dLbl>
              <c:idx val="1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DE-4299-B1A2-26D5C49DC3F8}"/>
                </c:ext>
              </c:extLst>
            </c:dLbl>
            <c:dLbl>
              <c:idx val="1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BB-4D7D-BD7A-3666A21347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Results!$A$3:$A$36</c15:sqref>
                  </c15:fullRef>
                </c:ext>
              </c:extLst>
              <c:f>Results!$A$17:$A$36</c:f>
              <c:numCache>
                <c:formatCode>General</c:formatCode>
                <c:ptCount val="2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Results!$BB$3:$BB$36</c15:sqref>
                  </c15:fullRef>
                </c:ext>
              </c:extLst>
              <c:f>Results!$BB$17:$BB$36</c:f>
              <c:numCache>
                <c:formatCode>General</c:formatCode>
                <c:ptCount val="20"/>
                <c:pt idx="9" formatCode="0.0%">
                  <c:v>3.3938882999999996E-2</c:v>
                </c:pt>
                <c:pt idx="10" formatCode="0.0%">
                  <c:v>2.2824008670810574E-2</c:v>
                </c:pt>
                <c:pt idx="11" formatCode="0.0%">
                  <c:v>2.3113518861336446E-2</c:v>
                </c:pt>
                <c:pt idx="12" formatCode="0.0%">
                  <c:v>2.328495136604251E-2</c:v>
                </c:pt>
                <c:pt idx="13" formatCode="0.0%">
                  <c:v>2.3375523001742372E-2</c:v>
                </c:pt>
                <c:pt idx="14" formatCode="0.0%">
                  <c:v>2.341823292950199E-2</c:v>
                </c:pt>
                <c:pt idx="15" formatCode="0.0%">
                  <c:v>2.3435323131925524E-2</c:v>
                </c:pt>
                <c:pt idx="16" formatCode="0.0%">
                  <c:v>2.344007556247818E-2</c:v>
                </c:pt>
                <c:pt idx="17" formatCode="0.0%">
                  <c:v>2.343981888329098E-2</c:v>
                </c:pt>
                <c:pt idx="18" formatCode="0.0%">
                  <c:v>2.343831428470905E-2</c:v>
                </c:pt>
                <c:pt idx="19" formatCode="0.0%">
                  <c:v>2.3437318574919895E-2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97-4DC2-B89B-05B1B9EC1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562448"/>
        <c:axId val="2111564368"/>
      </c:lineChart>
      <c:catAx>
        <c:axId val="211156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ES"/>
          </a:p>
        </c:txPr>
        <c:crossAx val="2111564368"/>
        <c:crosses val="autoZero"/>
        <c:auto val="1"/>
        <c:lblAlgn val="ctr"/>
        <c:lblOffset val="100"/>
        <c:noMultiLvlLbl val="0"/>
      </c:catAx>
      <c:valAx>
        <c:axId val="211156436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ES"/>
          </a:p>
        </c:txPr>
        <c:crossAx val="211156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Results!$B$1</c:f>
              <c:strCache>
                <c:ptCount val="1"/>
                <c:pt idx="0">
                  <c:v>Observado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A9-499B-9DBF-A84734A1EB04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0A9-499B-9DBF-A84734A1EB04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A9-499B-9DBF-A84734A1EB04}"/>
                </c:ext>
              </c:extLst>
            </c:dLbl>
            <c:dLbl>
              <c:idx val="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A9-499B-9DBF-A84734A1EB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Results!$A$3:$A$36</c15:sqref>
                  </c15:fullRef>
                </c:ext>
              </c:extLst>
              <c:f>Results!$A$17:$A$36</c:f>
              <c:numCache>
                <c:formatCode>General</c:formatCode>
                <c:ptCount val="2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Results!$X$3:$X$36</c15:sqref>
                  </c15:fullRef>
                </c:ext>
              </c:extLst>
              <c:f>Results!$X$17:$X$36</c:f>
              <c:numCache>
                <c:formatCode>0.0%</c:formatCode>
                <c:ptCount val="20"/>
                <c:pt idx="0">
                  <c:v>0.37762200000000001</c:v>
                </c:pt>
                <c:pt idx="1">
                  <c:v>0.39519900000000002</c:v>
                </c:pt>
                <c:pt idx="2">
                  <c:v>0.37952219999999998</c:v>
                </c:pt>
                <c:pt idx="3">
                  <c:v>0.38057429999999998</c:v>
                </c:pt>
                <c:pt idx="4">
                  <c:v>0.38267119999999999</c:v>
                </c:pt>
                <c:pt idx="5">
                  <c:v>0.42077399999999998</c:v>
                </c:pt>
                <c:pt idx="6">
                  <c:v>0.35761710000000002</c:v>
                </c:pt>
                <c:pt idx="7">
                  <c:v>0.38173829999999997</c:v>
                </c:pt>
                <c:pt idx="8">
                  <c:v>0.39764460000000001</c:v>
                </c:pt>
                <c:pt idx="9">
                  <c:v>0.39704719999999999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C-4D13-97B4-09028F098C04}"/>
            </c:ext>
          </c:extLst>
        </c:ser>
        <c:ser>
          <c:idx val="1"/>
          <c:order val="1"/>
          <c:tx>
            <c:strRef>
              <c:f>Results!$AC$1</c:f>
              <c:strCache>
                <c:ptCount val="1"/>
                <c:pt idx="0">
                  <c:v>Prognóstico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dash"/>
              </a:ln>
              <a:effectLst/>
            </c:spPr>
          </c:marker>
          <c:dLbls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58-4D79-882C-B66569A85F36}"/>
                </c:ext>
              </c:extLst>
            </c:dLbl>
            <c:dLbl>
              <c:idx val="1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A9-499B-9DBF-A84734A1EB04}"/>
                </c:ext>
              </c:extLst>
            </c:dLbl>
            <c:dLbl>
              <c:idx val="1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A9-499B-9DBF-A84734A1EB04}"/>
                </c:ext>
              </c:extLst>
            </c:dLbl>
            <c:dLbl>
              <c:idx val="1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58-4D79-882C-B66569A85F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Results!$A$3:$A$36</c15:sqref>
                  </c15:fullRef>
                </c:ext>
              </c:extLst>
              <c:f>Results!$A$17:$A$36</c:f>
              <c:numCache>
                <c:formatCode>General</c:formatCode>
                <c:ptCount val="2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Results!$AY$3:$AY$36</c15:sqref>
                  </c15:fullRef>
                </c:ext>
              </c:extLst>
              <c:f>Results!$AY$17:$AY$36</c:f>
              <c:numCache>
                <c:formatCode>General</c:formatCode>
                <c:ptCount val="20"/>
                <c:pt idx="9" formatCode="0.0%">
                  <c:v>0.39704719999999999</c:v>
                </c:pt>
                <c:pt idx="10" formatCode="0.0%">
                  <c:v>0.39143840496891358</c:v>
                </c:pt>
                <c:pt idx="11" formatCode="0.0%">
                  <c:v>0.38852901116538241</c:v>
                </c:pt>
                <c:pt idx="12" formatCode="0.0%">
                  <c:v>0.3870270829028345</c:v>
                </c:pt>
                <c:pt idx="13" formatCode="0.0%">
                  <c:v>0.38626270197784124</c:v>
                </c:pt>
                <c:pt idx="14" formatCode="0.0%">
                  <c:v>0.38588680285794907</c:v>
                </c:pt>
                <c:pt idx="15" formatCode="0.0%">
                  <c:v>0.3857166039061084</c:v>
                </c:pt>
                <c:pt idx="16" formatCode="0.0%">
                  <c:v>0.38565586476302827</c:v>
                </c:pt>
                <c:pt idx="17" formatCode="0.0%">
                  <c:v>0.38565356996832256</c:v>
                </c:pt>
                <c:pt idx="18" formatCode="0.0%">
                  <c:v>0.3856824429995887</c:v>
                </c:pt>
                <c:pt idx="19" formatCode="0.0%">
                  <c:v>0.38572773488585443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C-4D13-97B4-09028F098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562448"/>
        <c:axId val="2111564368"/>
      </c:lineChart>
      <c:catAx>
        <c:axId val="211156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ES"/>
          </a:p>
        </c:txPr>
        <c:crossAx val="2111564368"/>
        <c:crosses val="autoZero"/>
        <c:auto val="1"/>
        <c:lblAlgn val="ctr"/>
        <c:lblOffset val="100"/>
        <c:noMultiLvlLbl val="0"/>
      </c:catAx>
      <c:valAx>
        <c:axId val="2111564368"/>
        <c:scaling>
          <c:orientation val="minMax"/>
          <c:max val="0.44000000000000006"/>
          <c:min val="0.30000000000000004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ES"/>
          </a:p>
        </c:txPr>
        <c:crossAx val="211156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Results!$B$1</c:f>
              <c:strCache>
                <c:ptCount val="1"/>
                <c:pt idx="0">
                  <c:v>Observado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65-4678-B6C0-3599FBB811C5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65-4678-B6C0-3599FBB811C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65-4678-B6C0-3599FBB811C5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65-4678-B6C0-3599FBB811C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65-4678-B6C0-3599FBB811C5}"/>
                </c:ext>
              </c:extLst>
            </c:dLbl>
            <c:dLbl>
              <c:idx val="8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65-4678-B6C0-3599FBB811C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65-4678-B6C0-3599FBB811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Results!$A$3:$A$88</c15:sqref>
                  </c15:fullRef>
                </c:ext>
              </c:extLst>
              <c:f>Results!$A$17:$A$88</c:f>
              <c:numCache>
                <c:formatCode>General</c:formatCode>
                <c:ptCount val="7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Results!$Y$3:$Y$36</c15:sqref>
                  </c15:fullRef>
                </c:ext>
              </c:extLst>
              <c:f>Results!$Y$17:$Y$36</c:f>
              <c:numCache>
                <c:formatCode>0.0%</c:formatCode>
                <c:ptCount val="20"/>
                <c:pt idx="0">
                  <c:v>0.3690947</c:v>
                </c:pt>
                <c:pt idx="1">
                  <c:v>0.37512309999999999</c:v>
                </c:pt>
                <c:pt idx="2">
                  <c:v>0.3632765</c:v>
                </c:pt>
                <c:pt idx="3">
                  <c:v>0.37190519999999999</c:v>
                </c:pt>
                <c:pt idx="4">
                  <c:v>0.3818435</c:v>
                </c:pt>
                <c:pt idx="5">
                  <c:v>0.34541539999999998</c:v>
                </c:pt>
                <c:pt idx="6">
                  <c:v>0.37740240000000003</c:v>
                </c:pt>
                <c:pt idx="7">
                  <c:v>0.3948064</c:v>
                </c:pt>
                <c:pt idx="8">
                  <c:v>0.37596849999999998</c:v>
                </c:pt>
                <c:pt idx="9">
                  <c:v>0.39485360000000003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5A-4027-AF21-E1B13BE752A3}"/>
            </c:ext>
          </c:extLst>
        </c:ser>
        <c:ser>
          <c:idx val="1"/>
          <c:order val="1"/>
          <c:tx>
            <c:strRef>
              <c:f>Results!$AC$1</c:f>
              <c:strCache>
                <c:ptCount val="1"/>
                <c:pt idx="0">
                  <c:v>Prognóstico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dash"/>
              </a:ln>
              <a:effectLst/>
            </c:spPr>
          </c:marker>
          <c:dLbls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7A-4A09-854F-C6CBD4CB437F}"/>
                </c:ext>
              </c:extLst>
            </c:dLbl>
            <c:dLbl>
              <c:idx val="1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65-4678-B6C0-3599FBB811C5}"/>
                </c:ext>
              </c:extLst>
            </c:dLbl>
            <c:dLbl>
              <c:idx val="1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65-4678-B6C0-3599FBB811C5}"/>
                </c:ext>
              </c:extLst>
            </c:dLbl>
            <c:dLbl>
              <c:idx val="1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A7A-4A09-854F-C6CBD4CB43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Results!$A$3:$A$88</c15:sqref>
                  </c15:fullRef>
                </c:ext>
              </c:extLst>
              <c:f>Results!$A$17:$A$88</c:f>
              <c:numCache>
                <c:formatCode>General</c:formatCode>
                <c:ptCount val="7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Results!$AZ$3:$AZ$36</c15:sqref>
                  </c15:fullRef>
                </c:ext>
              </c:extLst>
              <c:f>Results!$AZ$17:$AZ$36</c:f>
              <c:numCache>
                <c:formatCode>General</c:formatCode>
                <c:ptCount val="20"/>
                <c:pt idx="9" formatCode="0.0%">
                  <c:v>0.39485360000000003</c:v>
                </c:pt>
                <c:pt idx="10" formatCode="0.0%">
                  <c:v>0.392641905693839</c:v>
                </c:pt>
                <c:pt idx="11" formatCode="0.0%">
                  <c:v>0.39170516853745285</c:v>
                </c:pt>
                <c:pt idx="12" formatCode="0.0%">
                  <c:v>0.39123305356105204</c:v>
                </c:pt>
                <c:pt idx="13" formatCode="0.0%">
                  <c:v>0.39093089974175099</c:v>
                </c:pt>
                <c:pt idx="14" formatCode="0.0%">
                  <c:v>0.39069608830608776</c:v>
                </c:pt>
                <c:pt idx="15" formatCode="0.0%">
                  <c:v>0.39049487316861936</c:v>
                </c:pt>
                <c:pt idx="16" formatCode="0.0%">
                  <c:v>0.39031678385164276</c:v>
                </c:pt>
                <c:pt idx="17" formatCode="0.0%">
                  <c:v>0.39015845382373493</c:v>
                </c:pt>
                <c:pt idx="18" formatCode="0.0%">
                  <c:v>0.390018282237028</c:v>
                </c:pt>
                <c:pt idx="19" formatCode="0.0%">
                  <c:v>0.38989489969805735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5A-4027-AF21-E1B13BE75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562448"/>
        <c:axId val="2111564368"/>
      </c:lineChart>
      <c:catAx>
        <c:axId val="211156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ES"/>
          </a:p>
        </c:txPr>
        <c:crossAx val="2111564368"/>
        <c:crosses val="autoZero"/>
        <c:auto val="1"/>
        <c:lblAlgn val="ctr"/>
        <c:lblOffset val="100"/>
        <c:noMultiLvlLbl val="0"/>
      </c:catAx>
      <c:valAx>
        <c:axId val="2111564368"/>
        <c:scaling>
          <c:orientation val="minMax"/>
          <c:max val="0.44000000000000006"/>
          <c:min val="0.30000000000000004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ES"/>
          </a:p>
        </c:txPr>
        <c:crossAx val="211156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Results!$B$1</c:f>
              <c:strCache>
                <c:ptCount val="1"/>
                <c:pt idx="0">
                  <c:v>Observado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026-4B82-82C8-2625F8B0EF4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26-4B82-82C8-2625F8B0EF4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026-4B82-82C8-2625F8B0EF4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026-4B82-82C8-2625F8B0EF4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26-4B82-82C8-2625F8B0EF40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26-4B82-82C8-2625F8B0EF4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026-4B82-82C8-2625F8B0EF4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026-4B82-82C8-2625F8B0E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Results!$A$3:$A$88</c15:sqref>
                  </c15:fullRef>
                </c:ext>
              </c:extLst>
              <c:f>Results!$A$17:$A$88</c:f>
              <c:numCache>
                <c:formatCode>General</c:formatCode>
                <c:ptCount val="7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Results!$W$3:$W$36</c15:sqref>
                  </c15:fullRef>
                </c:ext>
              </c:extLst>
              <c:f>Results!$W$17:$W$36</c:f>
              <c:numCache>
                <c:formatCode>0.0%</c:formatCode>
                <c:ptCount val="20"/>
                <c:pt idx="0">
                  <c:v>0.71729679999999996</c:v>
                </c:pt>
                <c:pt idx="1">
                  <c:v>0.77422189999999991</c:v>
                </c:pt>
                <c:pt idx="2">
                  <c:v>0.82744949999999995</c:v>
                </c:pt>
                <c:pt idx="3">
                  <c:v>0.84777049999999998</c:v>
                </c:pt>
                <c:pt idx="4">
                  <c:v>0.87118479999999998</c:v>
                </c:pt>
                <c:pt idx="5">
                  <c:v>0.96006839999999993</c:v>
                </c:pt>
                <c:pt idx="6">
                  <c:v>0.88934270000000004</c:v>
                </c:pt>
                <c:pt idx="7">
                  <c:v>0.83938840000000003</c:v>
                </c:pt>
                <c:pt idx="8">
                  <c:v>0.84000520000000001</c:v>
                </c:pt>
                <c:pt idx="9">
                  <c:v>0.87283840000000001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CB-4FC5-A172-34FBE82829BA}"/>
            </c:ext>
          </c:extLst>
        </c:ser>
        <c:ser>
          <c:idx val="1"/>
          <c:order val="1"/>
          <c:tx>
            <c:strRef>
              <c:f>Results!$AC$1</c:f>
              <c:strCache>
                <c:ptCount val="1"/>
                <c:pt idx="0">
                  <c:v>Prognóstico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dash"/>
              </a:ln>
              <a:effectLst/>
            </c:spPr>
          </c:marker>
          <c:dLbls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CB-4FC5-A172-34FBE82829BA}"/>
                </c:ext>
              </c:extLst>
            </c:dLbl>
            <c:dLbl>
              <c:idx val="1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026-4B82-82C8-2625F8B0EF40}"/>
                </c:ext>
              </c:extLst>
            </c:dLbl>
            <c:dLbl>
              <c:idx val="1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026-4B82-82C8-2625F8B0EF40}"/>
                </c:ext>
              </c:extLst>
            </c:dLbl>
            <c:dLbl>
              <c:idx val="1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CB-4FC5-A172-34FBE82829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Results!$A$3:$A$88</c15:sqref>
                  </c15:fullRef>
                </c:ext>
              </c:extLst>
              <c:f>Results!$A$17:$A$88</c:f>
              <c:numCache>
                <c:formatCode>General</c:formatCode>
                <c:ptCount val="7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Results!$AX$3:$AX$36</c15:sqref>
                  </c15:fullRef>
                </c:ext>
              </c:extLst>
              <c:f>Results!$AX$17:$AX$36</c:f>
              <c:numCache>
                <c:formatCode>General</c:formatCode>
                <c:ptCount val="20"/>
                <c:pt idx="9" formatCode="0.0%">
                  <c:v>0.87283840000000001</c:v>
                </c:pt>
                <c:pt idx="10" formatCode="0.0%">
                  <c:v>0.87421920541136722</c:v>
                </c:pt>
                <c:pt idx="11" formatCode="0.0%">
                  <c:v>0.87367369566597519</c:v>
                </c:pt>
                <c:pt idx="12" formatCode="0.0%">
                  <c:v>0.87212024222699969</c:v>
                </c:pt>
                <c:pt idx="13" formatCode="0.0%">
                  <c:v>0.87012180567502861</c:v>
                </c:pt>
                <c:pt idx="14" formatCode="0.0%">
                  <c:v>0.86799765976217047</c:v>
                </c:pt>
                <c:pt idx="15" formatCode="0.0%">
                  <c:v>0.86591718163487308</c:v>
                </c:pt>
                <c:pt idx="16" formatCode="0.0%">
                  <c:v>0.86396317693353297</c:v>
                </c:pt>
                <c:pt idx="17" formatCode="0.0%">
                  <c:v>0.86217068673251707</c:v>
                </c:pt>
                <c:pt idx="18" formatCode="0.0%">
                  <c:v>0.86054948461400016</c:v>
                </c:pt>
                <c:pt idx="19" formatCode="0.0%">
                  <c:v>0.85909663645690026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CB-4FC5-A172-34FBE8282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562448"/>
        <c:axId val="2111564368"/>
      </c:lineChart>
      <c:catAx>
        <c:axId val="211156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ES"/>
          </a:p>
        </c:txPr>
        <c:crossAx val="2111564368"/>
        <c:crosses val="autoZero"/>
        <c:auto val="1"/>
        <c:lblAlgn val="ctr"/>
        <c:lblOffset val="100"/>
        <c:noMultiLvlLbl val="0"/>
      </c:catAx>
      <c:valAx>
        <c:axId val="2111564368"/>
        <c:scaling>
          <c:orientation val="minMax"/>
          <c:min val="0.60000000000000009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ES"/>
          </a:p>
        </c:txPr>
        <c:crossAx val="211156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580155</xdr:colOff>
      <xdr:row>47</xdr:row>
      <xdr:rowOff>153035</xdr:rowOff>
    </xdr:from>
    <xdr:to>
      <xdr:col>6</xdr:col>
      <xdr:colOff>590955</xdr:colOff>
      <xdr:row>63</xdr:row>
      <xdr:rowOff>192635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760543</xdr:colOff>
      <xdr:row>3</xdr:row>
      <xdr:rowOff>126365</xdr:rowOff>
    </xdr:from>
    <xdr:to>
      <xdr:col>6</xdr:col>
      <xdr:colOff>771343</xdr:colOff>
      <xdr:row>20</xdr:row>
      <xdr:rowOff>19915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380999</xdr:colOff>
      <xdr:row>24</xdr:row>
      <xdr:rowOff>104140</xdr:rowOff>
    </xdr:from>
    <xdr:to>
      <xdr:col>13</xdr:col>
      <xdr:colOff>391799</xdr:colOff>
      <xdr:row>40</xdr:row>
      <xdr:rowOff>143740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621712</xdr:colOff>
      <xdr:row>23</xdr:row>
      <xdr:rowOff>179752</xdr:rowOff>
    </xdr:from>
    <xdr:to>
      <xdr:col>6</xdr:col>
      <xdr:colOff>632512</xdr:colOff>
      <xdr:row>40</xdr:row>
      <xdr:rowOff>25677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619760</xdr:colOff>
      <xdr:row>44</xdr:row>
      <xdr:rowOff>96520</xdr:rowOff>
    </xdr:from>
    <xdr:to>
      <xdr:col>5</xdr:col>
      <xdr:colOff>648268</xdr:colOff>
      <xdr:row>47</xdr:row>
      <xdr:rowOff>99209</xdr:rowOff>
    </xdr:to>
    <xdr:sp macro="" textlink="">
      <xdr:nvSpPr>
        <xdr:cNvPr id="2" name="CuadroTexto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457960" y="8757920"/>
          <a:ext cx="3381308" cy="59323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600">
              <a:solidFill>
                <a:schemeClr val="tx1">
                  <a:lumMod val="75000"/>
                  <a:lumOff val="25000"/>
                </a:schemeClr>
              </a:solidFill>
              <a:latin typeface="Gotham Bold" pitchFamily="50" charset="0"/>
              <a:ea typeface="+mj-ea"/>
              <a:cs typeface="+mj-cs"/>
            </a:rPr>
            <a:t>Resultado Primário 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600">
              <a:solidFill>
                <a:schemeClr val="tx1">
                  <a:lumMod val="75000"/>
                  <a:lumOff val="25000"/>
                </a:schemeClr>
              </a:solidFill>
              <a:latin typeface="Gotham Bold" pitchFamily="50" charset="0"/>
              <a:ea typeface="+mj-ea"/>
              <a:cs typeface="+mj-cs"/>
            </a:rPr>
            <a:t>(% do PIB)</a:t>
          </a:r>
        </a:p>
      </xdr:txBody>
    </xdr:sp>
    <xdr:clientData/>
  </xdr:twoCellAnchor>
  <xdr:twoCellAnchor>
    <xdr:from>
      <xdr:col>1</xdr:col>
      <xdr:colOff>447040</xdr:colOff>
      <xdr:row>0</xdr:row>
      <xdr:rowOff>152400</xdr:rowOff>
    </xdr:from>
    <xdr:to>
      <xdr:col>6</xdr:col>
      <xdr:colOff>436061</xdr:colOff>
      <xdr:row>3</xdr:row>
      <xdr:rowOff>113308</xdr:rowOff>
    </xdr:to>
    <xdr:sp macro="" textlink="">
      <xdr:nvSpPr>
        <xdr:cNvPr id="3" name="CuadroTexto 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285240" y="152400"/>
          <a:ext cx="4180021" cy="56098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600">
              <a:solidFill>
                <a:schemeClr val="tx1">
                  <a:lumMod val="75000"/>
                  <a:lumOff val="25000"/>
                </a:schemeClr>
              </a:solidFill>
              <a:latin typeface="Gotham Bold" pitchFamily="50" charset="0"/>
              <a:ea typeface="+mj-ea"/>
              <a:cs typeface="+mj-cs"/>
            </a:rPr>
            <a:t>Crescimento do PIB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400">
              <a:solidFill>
                <a:schemeClr val="tx1">
                  <a:lumMod val="75000"/>
                  <a:lumOff val="25000"/>
                </a:schemeClr>
              </a:solidFill>
              <a:latin typeface="Gotham Book" panose="02000604040000020004" pitchFamily="50" charset="0"/>
              <a:ea typeface="+mj-ea"/>
              <a:cs typeface="+mj-cs"/>
            </a:rPr>
            <a:t>(%)</a:t>
          </a:r>
        </a:p>
      </xdr:txBody>
    </xdr:sp>
    <xdr:clientData/>
  </xdr:twoCellAnchor>
  <xdr:twoCellAnchor>
    <xdr:from>
      <xdr:col>8</xdr:col>
      <xdr:colOff>406400</xdr:colOff>
      <xdr:row>21</xdr:row>
      <xdr:rowOff>15875</xdr:rowOff>
    </xdr:from>
    <xdr:to>
      <xdr:col>12</xdr:col>
      <xdr:colOff>438083</xdr:colOff>
      <xdr:row>24</xdr:row>
      <xdr:rowOff>25400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7112000" y="4216400"/>
          <a:ext cx="3384483" cy="60960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600">
              <a:solidFill>
                <a:schemeClr val="tx1">
                  <a:lumMod val="75000"/>
                  <a:lumOff val="25000"/>
                </a:schemeClr>
              </a:solidFill>
              <a:latin typeface="Gotham Bold" pitchFamily="50" charset="0"/>
              <a:ea typeface="+mj-ea"/>
              <a:cs typeface="+mj-cs"/>
            </a:rPr>
            <a:t>Gasto Público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600">
              <a:solidFill>
                <a:schemeClr val="tx1">
                  <a:lumMod val="75000"/>
                  <a:lumOff val="25000"/>
                </a:schemeClr>
              </a:solidFill>
              <a:latin typeface="Gotham Bold" pitchFamily="50" charset="0"/>
              <a:ea typeface="+mj-ea"/>
              <a:cs typeface="+mj-cs"/>
            </a:rPr>
            <a:t>(% do PIB)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O" sz="1400">
            <a:solidFill>
              <a:schemeClr val="tx1">
                <a:lumMod val="75000"/>
                <a:lumOff val="25000"/>
              </a:schemeClr>
            </a:solidFill>
            <a:latin typeface="Gotham Book" panose="02000604040000020004" pitchFamily="50" charset="0"/>
            <a:ea typeface="+mj-ea"/>
            <a:cs typeface="+mj-cs"/>
          </a:endParaRPr>
        </a:p>
      </xdr:txBody>
    </xdr:sp>
    <xdr:clientData/>
  </xdr:twoCellAnchor>
  <xdr:twoCellAnchor>
    <xdr:from>
      <xdr:col>1</xdr:col>
      <xdr:colOff>668020</xdr:colOff>
      <xdr:row>20</xdr:row>
      <xdr:rowOff>191770</xdr:rowOff>
    </xdr:from>
    <xdr:to>
      <xdr:col>5</xdr:col>
      <xdr:colOff>702878</xdr:colOff>
      <xdr:row>23</xdr:row>
      <xdr:rowOff>159994</xdr:rowOff>
    </xdr:to>
    <xdr:sp macro="" textlink="">
      <xdr:nvSpPr>
        <xdr:cNvPr id="6" name="CuadroTexto 3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1506220" y="4192270"/>
          <a:ext cx="3387658" cy="5682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600">
              <a:solidFill>
                <a:schemeClr val="tx1">
                  <a:lumMod val="75000"/>
                  <a:lumOff val="25000"/>
                </a:schemeClr>
              </a:solidFill>
              <a:latin typeface="Gotham Bold" pitchFamily="50" charset="0"/>
              <a:ea typeface="+mj-ea"/>
              <a:cs typeface="+mj-cs"/>
            </a:rPr>
            <a:t>Receitas Fiscais</a:t>
          </a:r>
          <a:endParaRPr lang="es-CO" sz="1600" baseline="0">
            <a:solidFill>
              <a:schemeClr val="tx1">
                <a:lumMod val="75000"/>
                <a:lumOff val="25000"/>
              </a:schemeClr>
            </a:solidFill>
            <a:latin typeface="Gotham Bold" pitchFamily="50" charset="0"/>
            <a:ea typeface="+mj-ea"/>
            <a:cs typeface="+mj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400">
              <a:solidFill>
                <a:schemeClr val="tx1">
                  <a:lumMod val="75000"/>
                  <a:lumOff val="25000"/>
                </a:schemeClr>
              </a:solidFill>
              <a:latin typeface="Gotham Book" panose="02000604040000020004" pitchFamily="50" charset="0"/>
              <a:ea typeface="+mj-ea"/>
              <a:cs typeface="+mj-cs"/>
            </a:rPr>
            <a:t>(% do PIB)</a:t>
          </a:r>
        </a:p>
      </xdr:txBody>
    </xdr:sp>
    <xdr:clientData/>
  </xdr:twoCellAnchor>
  <xdr:twoCellAnchor>
    <xdr:from>
      <xdr:col>7</xdr:col>
      <xdr:colOff>425450</xdr:colOff>
      <xdr:row>47</xdr:row>
      <xdr:rowOff>106680</xdr:rowOff>
    </xdr:from>
    <xdr:to>
      <xdr:col>13</xdr:col>
      <xdr:colOff>436250</xdr:colOff>
      <xdr:row>63</xdr:row>
      <xdr:rowOff>139930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DB58C66-FDC5-4A99-A59C-0DEA5D900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210090</xdr:colOff>
      <xdr:row>44</xdr:row>
      <xdr:rowOff>66675</xdr:rowOff>
    </xdr:from>
    <xdr:to>
      <xdr:col>13</xdr:col>
      <xdr:colOff>192761</xdr:colOff>
      <xdr:row>47</xdr:row>
      <xdr:rowOff>69364</xdr:rowOff>
    </xdr:to>
    <xdr:sp macro="" textlink="">
      <xdr:nvSpPr>
        <xdr:cNvPr id="15" name="CuadroTexto 7">
          <a:extLst>
            <a:ext uri="{FF2B5EF4-FFF2-40B4-BE49-F238E27FC236}">
              <a16:creationId xmlns:a16="http://schemas.microsoft.com/office/drawing/2014/main" id="{DABA0371-4C6B-4C52-A819-95816BAF5050}"/>
            </a:ext>
          </a:extLst>
        </xdr:cNvPr>
        <xdr:cNvSpPr txBox="1"/>
      </xdr:nvSpPr>
      <xdr:spPr>
        <a:xfrm>
          <a:off x="6915690" y="8867775"/>
          <a:ext cx="4173671" cy="60276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600">
              <a:solidFill>
                <a:schemeClr val="tx1">
                  <a:lumMod val="75000"/>
                  <a:lumOff val="25000"/>
                </a:schemeClr>
              </a:solidFill>
              <a:latin typeface="Gotham Bold" pitchFamily="50" charset="0"/>
              <a:ea typeface="+mj-ea"/>
              <a:cs typeface="+mj-cs"/>
            </a:rPr>
            <a:t>Dívida Pública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600">
              <a:solidFill>
                <a:schemeClr val="tx1">
                  <a:lumMod val="75000"/>
                  <a:lumOff val="25000"/>
                </a:schemeClr>
              </a:solidFill>
              <a:latin typeface="Gotham Bold" pitchFamily="50" charset="0"/>
              <a:ea typeface="+mj-ea"/>
              <a:cs typeface="+mj-cs"/>
            </a:rPr>
            <a:t>(% do PIB)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V500"/>
  <sheetViews>
    <sheetView workbookViewId="0"/>
  </sheetViews>
  <sheetFormatPr defaultColWidth="11" defaultRowHeight="15.75" x14ac:dyDescent="0.5"/>
  <cols>
    <col min="12" max="12" width="16.75" customWidth="1"/>
    <col min="29" max="29" width="10.5" customWidth="1"/>
  </cols>
  <sheetData>
    <row r="1" spans="1:100" dyDescent="0.5" s="1" customForma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</row>
    <row r="2" spans="1:100" dyDescent="0.5">
      <c r="A2">
        <v>0.48415648937808237</v>
      </c>
      <c r="B2">
        <v>0.09883106954418074</v>
      </c>
      <c r="C2">
        <v>0.468025392216888</v>
      </c>
      <c r="D2">
        <v>4.798140770492084</v>
      </c>
      <c r="E2">
        <v>0.15798131600378232</v>
      </c>
      <c r="F2">
        <v>1.0648803888729472</v>
      </c>
      <c r="G2">
        <v>1.2556814495135176</v>
      </c>
      <c r="H2">
        <v>0.04687772750045701</v>
      </c>
      <c r="I2">
        <v>0.9949730907136739</v>
      </c>
      <c r="J2">
        <v>0.9297868407175549</v>
      </c>
      <c r="K2">
        <v>0.4204624231445736</v>
      </c>
      <c r="L2">
        <v>0.17256467034752201</v>
      </c>
      <c r="M2">
        <v>0.15012201087033875</v>
      </c>
      <c r="N2">
        <v>0.15036714058268488</v>
      </c>
      <c r="O2">
        <v>0.17703336384683</v>
      </c>
      <c r="P2">
        <v>0.4227425834910825</v>
      </c>
      <c r="Q2">
        <v>0.4185089676342436</v>
      </c>
      <c r="R2">
        <v>0.004233615856838935</v>
      </c>
      <c r="S2">
        <v>0.11298524781503992</v>
      </c>
      <c r="T2">
        <v>-0.0022801603465088917</v>
      </c>
      <c r="U2">
        <v>-0.041454800077324105</v>
      </c>
      <c r="V2">
        <v>0.8728384</v>
      </c>
      <c r="W2">
        <v>0.3970472</v>
      </c>
      <c r="X2">
        <v>0.3948536</v>
      </c>
      <c r="Y2">
        <v>-0.0021935999999999328</v>
      </c>
      <c r="Z2">
        <v>0.03393888300000002</v>
      </c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</row>
    <row r="3" spans="1:100" dyDescent="0.5">
      <c r="A3">
        <v>0.48560505577823615</v>
      </c>
      <c r="B3">
        <v>0.099251129811577</v>
      </c>
      <c r="C3">
        <v>0.46845887916322143</v>
      </c>
      <c r="D3">
        <v>4.780318129534078</v>
      </c>
      <c r="E3">
        <v>0.16196559285867007</v>
      </c>
      <c r="F3">
        <v>1.0640590864517352</v>
      </c>
      <c r="G3">
        <v>1.2535950858783165</v>
      </c>
      <c r="H3">
        <v>0.04717845112642881</v>
      </c>
      <c r="I3">
        <v>0.9958802668314628</v>
      </c>
      <c r="J3">
        <v>0.9304911148925235</v>
      </c>
      <c r="K3">
        <v>0.4177984839894275</v>
      </c>
      <c r="L3">
        <v>0.166197157630056</v>
      </c>
      <c r="M3">
        <v>0.1500501245692117</v>
      </c>
      <c r="N3">
        <v>0.1501500196478655</v>
      </c>
      <c r="O3">
        <v>0.17742750850128206</v>
      </c>
      <c r="P3">
        <v>0.41648843781482897</v>
      </c>
      <c r="Q3">
        <v>0.4122548479716376</v>
      </c>
      <c r="R3">
        <v>0.004233589843191393</v>
      </c>
      <c r="S3">
        <v>0.11298523570204647</v>
      </c>
      <c r="T3">
        <v>0.0013100461745985002</v>
      </c>
      <c r="U3">
        <v>-0.041454800077324105</v>
      </c>
      <c r="V3">
        <v>0.8742192053196076</v>
      </c>
      <c r="W3">
        <v>0.3914384053637249</v>
      </c>
      <c r="X3">
        <v>0.3926419057825656</v>
      </c>
      <c r="Y3">
        <v>0.0012035004188407526</v>
      </c>
      <c r="Z3">
        <v>0.02282400900513543</v>
      </c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</row>
    <row r="4" spans="1:100" dyDescent="0.5">
      <c r="A4">
        <v>0.48562090631014654</v>
      </c>
      <c r="B4">
        <v>0.09959425164330812</v>
      </c>
      <c r="C4">
        <v>0.468880679375859</v>
      </c>
      <c r="D4">
        <v>4.765911111650127</v>
      </c>
      <c r="E4">
        <v>0.16471339452167116</v>
      </c>
      <c r="F4">
        <v>1.0635441991110837</v>
      </c>
      <c r="G4">
        <v>1.2518963005570793</v>
      </c>
      <c r="H4">
        <v>0.047424712389019026</v>
      </c>
      <c r="I4">
        <v>0.996623730325488</v>
      </c>
      <c r="J4">
        <v>0.9294390774155455</v>
      </c>
      <c r="K4">
        <v>0.4166044924676639</v>
      </c>
      <c r="L4">
        <v>0.16366745687201392</v>
      </c>
      <c r="M4">
        <v>0.15002059220159386</v>
      </c>
      <c r="N4">
        <v>0.150061300482178</v>
      </c>
      <c r="O4">
        <v>0.17756912660938087</v>
      </c>
      <c r="P4">
        <v>0.41320989827926596</v>
      </c>
      <c r="Q4">
        <v>0.40897632066549655</v>
      </c>
      <c r="R4">
        <v>0.0042335776137694524</v>
      </c>
      <c r="S4">
        <v>0.11298521181350973</v>
      </c>
      <c r="T4">
        <v>0.003394594188397936</v>
      </c>
      <c r="U4">
        <v>-0.041454800077324105</v>
      </c>
      <c r="V4">
        <v>0.8736736957104795</v>
      </c>
      <c r="W4">
        <v>0.3885290116476947</v>
      </c>
      <c r="X4">
        <v>0.3917051686081958</v>
      </c>
      <c r="Y4">
        <v>0.003176156960501185</v>
      </c>
      <c r="Z4">
        <v>0.02311351910161697</v>
      </c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</row>
    <row r="5" spans="1:100" dyDescent="0.5">
      <c r="A5">
        <v>0.48512495300023084</v>
      </c>
      <c r="B5">
        <v>0.09987961056569183</v>
      </c>
      <c r="C5">
        <v>0.4692816128308547</v>
      </c>
      <c r="D5">
        <v>4.7539251105788525</v>
      </c>
      <c r="E5">
        <v>0.16659457467181127</v>
      </c>
      <c r="F5">
        <v>1.0632107544462153</v>
      </c>
      <c r="G5">
        <v>1.2504633449774656</v>
      </c>
      <c r="H5">
        <v>0.04763129183235639</v>
      </c>
      <c r="I5">
        <v>0.9972330254293928</v>
      </c>
      <c r="J5">
        <v>0.927487512816218</v>
      </c>
      <c r="K5">
        <v>0.41597363273344884</v>
      </c>
      <c r="L5">
        <v>0.16266245127419465</v>
      </c>
      <c r="M5">
        <v>0.150008459698969</v>
      </c>
      <c r="N5">
        <v>0.15002504837978706</v>
      </c>
      <c r="O5">
        <v>0.17757028936874347</v>
      </c>
      <c r="P5">
        <v>0.4114912267741732</v>
      </c>
      <c r="Q5">
        <v>0.407257654909646</v>
      </c>
      <c r="R5">
        <v>0.004233571864527223</v>
      </c>
      <c r="S5">
        <v>0.1129851830708437</v>
      </c>
      <c r="T5">
        <v>0.0044824059592756425</v>
      </c>
      <c r="U5">
        <v>-0.041454800077324105</v>
      </c>
      <c r="V5">
        <v>0.8721202425070449</v>
      </c>
      <c r="W5">
        <v>0.3870270833602844</v>
      </c>
      <c r="X5">
        <v>0.39123305359885535</v>
      </c>
      <c r="Y5">
        <v>0.004205970238571031</v>
      </c>
      <c r="Z5">
        <v>0.023284951547029826</v>
      </c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</row>
    <row r="6" spans="1:100" dyDescent="0.5">
      <c r="A6">
        <v>0.48447489027629487</v>
      </c>
      <c r="B6">
        <v>0.10012086355175004</v>
      </c>
      <c r="C6">
        <v>0.46965395430055856</v>
      </c>
      <c r="D6">
        <v>4.7437016676547445</v>
      </c>
      <c r="E6">
        <v>0.16790801261467225</v>
      </c>
      <c r="F6">
        <v>1.0629731700068108</v>
      </c>
      <c r="G6">
        <v>1.249216591660297</v>
      </c>
      <c r="H6">
        <v>0.04780766352001711</v>
      </c>
      <c r="I6">
        <v>0.9977323647064734</v>
      </c>
      <c r="J6">
        <v>0.9251533553698557</v>
      </c>
      <c r="K6">
        <v>0.41556036989549083</v>
      </c>
      <c r="L6">
        <v>0.1622631802345521</v>
      </c>
      <c r="M6">
        <v>0.1500034754179304</v>
      </c>
      <c r="N6">
        <v>0.15001023517772888</v>
      </c>
      <c r="O6">
        <v>0.1774975663713414</v>
      </c>
      <c r="P6">
        <v>0.4105902671158436</v>
      </c>
      <c r="Q6">
        <v>0.406356697954125</v>
      </c>
      <c r="R6">
        <v>0.004233569161718669</v>
      </c>
      <c r="S6">
        <v>0.11298515270236818</v>
      </c>
      <c r="T6">
        <v>0.004970102779647231</v>
      </c>
      <c r="U6">
        <v>-0.041454800077324105</v>
      </c>
      <c r="V6">
        <v>0.8701218062288945</v>
      </c>
      <c r="W6">
        <v>0.38626270237808064</v>
      </c>
      <c r="X6">
        <v>0.3909308997533249</v>
      </c>
      <c r="Y6">
        <v>0.004668197375244281</v>
      </c>
      <c r="Z6">
        <v>0.023375523143806407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</row>
    <row r="7" spans="1:100" dyDescent="0.5">
      <c r="A7">
        <v>0.4838062865163612</v>
      </c>
      <c r="B7">
        <v>0.10032763164225346</v>
      </c>
      <c r="C7">
        <v>0.46999418314615626</v>
      </c>
      <c r="D7">
        <v>4.734809824181658</v>
      </c>
      <c r="E7">
        <v>0.16885653561279954</v>
      </c>
      <c r="F7">
        <v>1.0627807893712617</v>
      </c>
      <c r="G7">
        <v>1.248106168951978</v>
      </c>
      <c r="H7">
        <v>0.04796020529247189</v>
      </c>
      <c r="I7">
        <v>0.9981415912241944</v>
      </c>
      <c r="J7">
        <v>0.9227278215800502</v>
      </c>
      <c r="K7">
        <v>0.41523616486296333</v>
      </c>
      <c r="L7">
        <v>0.16210455687619155</v>
      </c>
      <c r="M7">
        <v>0.15000142777300177</v>
      </c>
      <c r="N7">
        <v>0.15000418226104972</v>
      </c>
      <c r="O7">
        <v>0.17738994566843655</v>
      </c>
      <c r="P7">
        <v>0.41011796724210087</v>
      </c>
      <c r="Q7">
        <v>0.4058843993510147</v>
      </c>
      <c r="R7">
        <v>0.004233567891086162</v>
      </c>
      <c r="S7">
        <v>0.11298512220117896</v>
      </c>
      <c r="T7">
        <v>0.005118197620862509</v>
      </c>
      <c r="U7">
        <v>-0.041454800077324105</v>
      </c>
      <c r="V7">
        <v>0.8679976606019693</v>
      </c>
      <c r="W7">
        <v>0.3858868031989871</v>
      </c>
      <c r="X7">
        <v>0.39069608830060004</v>
      </c>
      <c r="Y7">
        <v>0.00480928510161297</v>
      </c>
      <c r="Z7">
        <v>0.023418233044349014</v>
      </c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</row>
    <row r="8" spans="1:100" dyDescent="0.5">
      <c r="A8">
        <v>0.48316764649384725</v>
      </c>
      <c r="B8">
        <v>0.10050679507315545</v>
      </c>
      <c r="C8">
        <v>0.4703020808145578</v>
      </c>
      <c r="D8">
        <v>4.726963097516298</v>
      </c>
      <c r="E8">
        <v>0.16956847152611837</v>
      </c>
      <c r="F8">
        <v>1.0626064968425373</v>
      </c>
      <c r="G8">
        <v>1.247101041798022</v>
      </c>
      <c r="H8">
        <v>0.0480934290232545</v>
      </c>
      <c r="I8">
        <v>0.9984769670908499</v>
      </c>
      <c r="J8">
        <v>0.9203651808393335</v>
      </c>
      <c r="K8">
        <v>0.41495463374243563</v>
      </c>
      <c r="L8">
        <v>0.16204153860709766</v>
      </c>
      <c r="M8">
        <v>0.1500005865584472</v>
      </c>
      <c r="N8">
        <v>0.15000170894027942</v>
      </c>
      <c r="O8">
        <v>0.17726961639194924</v>
      </c>
      <c r="P8">
        <v>0.4098703788225716</v>
      </c>
      <c r="Q8">
        <v>0.40563681152882963</v>
      </c>
      <c r="R8">
        <v>0.0042335672937419775</v>
      </c>
      <c r="S8">
        <v>0.11298509224553718</v>
      </c>
      <c r="T8">
        <v>0.005084254919863994</v>
      </c>
      <c r="U8">
        <v>-0.041454800077324105</v>
      </c>
      <c r="V8">
        <v>0.8659171827625014</v>
      </c>
      <c r="W8">
        <v>0.3857166041956746</v>
      </c>
      <c r="X8">
        <v>0.39049487315355214</v>
      </c>
      <c r="Y8">
        <v>0.004778268957877561</v>
      </c>
      <c r="Z8">
        <v>0.023435323226537307</v>
      </c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</row>
    <row r="9" spans="1:100" dyDescent="0.5">
      <c r="A9">
        <v>0.4825737814844882</v>
      </c>
      <c r="B9">
        <v>0.10066340731975293</v>
      </c>
      <c r="C9">
        <v>0.4705793691514251</v>
      </c>
      <c r="D9">
        <v>4.719964783681706</v>
      </c>
      <c r="E9">
        <v>0.17012286440293317</v>
      </c>
      <c r="F9">
        <v>1.0624372342301527</v>
      </c>
      <c r="G9">
        <v>1.2461815055054135</v>
      </c>
      <c r="H9">
        <v>0.04821067334006319</v>
      </c>
      <c r="I9">
        <v>0.9987518196897511</v>
      </c>
      <c r="J9">
        <v>0.918141035599774</v>
      </c>
      <c r="K9">
        <v>0.4146995575731273</v>
      </c>
      <c r="L9">
        <v>0.1620165025576745</v>
      </c>
      <c r="M9">
        <v>0.15000024097024633</v>
      </c>
      <c r="N9">
        <v>0.15000069830095347</v>
      </c>
      <c r="O9">
        <v>0.17714870913246067</v>
      </c>
      <c r="P9">
        <v>0.40974058834273125</v>
      </c>
      <c r="Q9">
        <v>0.4055070213298101</v>
      </c>
      <c r="R9">
        <v>0.004233567012921148</v>
      </c>
      <c r="S9">
        <v>0.11298506313152433</v>
      </c>
      <c r="T9">
        <v>0.004958969230396062</v>
      </c>
      <c r="U9">
        <v>-0.041454800077324105</v>
      </c>
      <c r="V9">
        <v>0.8639631783472196</v>
      </c>
      <c r="W9">
        <v>0.3856558650105529</v>
      </c>
      <c r="X9">
        <v>0.39031678383254836</v>
      </c>
      <c r="Y9">
        <v>0.004660918821995543</v>
      </c>
      <c r="Z9">
        <v>0.023440075641340617</v>
      </c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</row>
    <row r="10" spans="1:100" dyDescent="0.5">
      <c r="A10">
        <v>0.4820268167647551</v>
      </c>
      <c r="B10">
        <v>0.10080129214103122</v>
      </c>
      <c r="C10">
        <v>0.47082868110242215</v>
      </c>
      <c r="D10">
        <v>4.713674168461957</v>
      </c>
      <c r="E10">
        <v>0.170568333428399</v>
      </c>
      <c r="F10">
        <v>1.0622676999373026</v>
      </c>
      <c r="G10">
        <v>1.2453345228225685</v>
      </c>
      <c r="H10">
        <v>0.04831450238102446</v>
      </c>
      <c r="I10">
        <v>0.9989770712914127</v>
      </c>
      <c r="J10">
        <v>0.9160875854998305</v>
      </c>
      <c r="K10">
        <v>0.4144652875964271</v>
      </c>
      <c r="L10">
        <v>0.16200655617578028</v>
      </c>
      <c r="M10">
        <v>0.15000009899552194</v>
      </c>
      <c r="N10">
        <v>0.1500002853371926</v>
      </c>
      <c r="O10">
        <v>0.17703348093415008</v>
      </c>
      <c r="P10">
        <v>0.4096725497441484</v>
      </c>
      <c r="Q10">
        <v>0.40543898286324553</v>
      </c>
      <c r="R10">
        <v>0.004233566880902892</v>
      </c>
      <c r="S10">
        <v>0.1129850349764068</v>
      </c>
      <c r="T10">
        <v>0.004792737852278662</v>
      </c>
      <c r="U10">
        <v>-0.041454800077324105</v>
      </c>
      <c r="V10">
        <v>0.8621706884291694</v>
      </c>
      <c r="W10">
        <v>0.3856535701822104</v>
      </c>
      <c r="X10">
        <v>0.3901584538047082</v>
      </c>
      <c r="Y10">
        <v>0.004504883622497829</v>
      </c>
      <c r="Z10">
        <v>0.023439818949543233</v>
      </c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</row>
    <row r="11" spans="1:100" dyDescent="0.5">
      <c r="A11">
        <v>0.48152439793839463</v>
      </c>
      <c r="B11">
        <v>0.10092342365832624</v>
      </c>
      <c r="C11">
        <v>0.47105292768915774</v>
      </c>
      <c r="D11">
        <v>4.707986224259949</v>
      </c>
      <c r="E11">
        <v>0.17093529260397475</v>
      </c>
      <c r="F11">
        <v>1.0620965731789649</v>
      </c>
      <c r="G11">
        <v>1.244550971971233</v>
      </c>
      <c r="H11">
        <v>0.04840694294801165</v>
      </c>
      <c r="I11">
        <v>0.9991616730898091</v>
      </c>
      <c r="J11">
        <v>0.9142139571852737</v>
      </c>
      <c r="K11">
        <v>0.41424960989033915</v>
      </c>
      <c r="L11">
        <v>0.16200260465327312</v>
      </c>
      <c r="M11">
        <v>0.1500000406693918</v>
      </c>
      <c r="N11">
        <v>0.15000011659344453</v>
      </c>
      <c r="O11">
        <v>0.1769268551767891</v>
      </c>
      <c r="P11">
        <v>0.40963688263659553</v>
      </c>
      <c r="Q11">
        <v>0.4054033158177565</v>
      </c>
      <c r="R11">
        <v>0.004233566818839047</v>
      </c>
      <c r="S11">
        <v>0.11298500781420884</v>
      </c>
      <c r="T11">
        <v>0.0046127272537436195</v>
      </c>
      <c r="U11">
        <v>-0.041454800077324105</v>
      </c>
      <c r="V11">
        <v>0.8605494865898815</v>
      </c>
      <c r="W11">
        <v>0.38568244318658607</v>
      </c>
      <c r="X11">
        <v>0.39001828222113727</v>
      </c>
      <c r="Y11">
        <v>0.004335839034551269</v>
      </c>
      <c r="Z11">
        <v>0.0234383143407098</v>
      </c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</row>
    <row r="12" spans="1:100" dyDescent="0.5">
      <c r="A12">
        <v>0.48106284722048664</v>
      </c>
      <c r="B12">
        <v>0.10103216897343206</v>
      </c>
      <c r="C12">
        <v>0.47125495569137293</v>
      </c>
      <c r="D12">
        <v>4.702819477044358</v>
      </c>
      <c r="E12">
        <v>0.17124336006980437</v>
      </c>
      <c r="F12">
        <v>1.0619243925607742</v>
      </c>
      <c r="G12">
        <v>1.2438240656910877</v>
      </c>
      <c r="H12">
        <v>0.04848963160489523</v>
      </c>
      <c r="I12">
        <v>0.999312960910716</v>
      </c>
      <c r="J12">
        <v>0.9125175417467098</v>
      </c>
      <c r="K12">
        <v>0.4140512869868752</v>
      </c>
      <c r="L12">
        <v>0.16200103478291317</v>
      </c>
      <c r="M12">
        <v>0.15000001670782068</v>
      </c>
      <c r="N12">
        <v>0.1500000476419887</v>
      </c>
      <c r="O12">
        <v>0.1768299229736027</v>
      </c>
      <c r="P12">
        <v>0.4096181852704831</v>
      </c>
      <c r="Q12">
        <v>0.40538461848082125</v>
      </c>
      <c r="R12">
        <v>0.004233566789661865</v>
      </c>
      <c r="S12">
        <v>0.11298498164061199</v>
      </c>
      <c r="T12">
        <v>0.004433101716392065</v>
      </c>
      <c r="U12">
        <v>-0.041454800077324105</v>
      </c>
      <c r="V12">
        <v>0.8590966387077498</v>
      </c>
      <c r="W12">
        <v>0.38572773505115526</v>
      </c>
      <c r="X12">
        <v>0.38989489968763374</v>
      </c>
      <c r="Y12">
        <v>0.004167164636478551</v>
      </c>
      <c r="Z12">
        <v>0.023437318622525023</v>
      </c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</row>
    <row r="13" spans="1:100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</row>
    <row r="14" spans="1:100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</row>
    <row r="15" spans="1:100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</row>
    <row r="16" spans="1:100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</row>
    <row r="17" spans="1:100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</row>
    <row r="18" spans="1:100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</row>
    <row r="19" spans="1:100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</row>
    <row r="20" spans="1:10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</row>
    <row r="21" spans="1:100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</row>
    <row r="22" spans="1:10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</row>
    <row r="23" spans="1:10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</row>
    <row r="24" spans="1:100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</row>
    <row r="25" spans="1:10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</row>
    <row r="26" spans="1:10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</row>
    <row r="27" spans="1:10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</row>
    <row r="28" spans="1:10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</row>
    <row r="29" spans="1:10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</row>
    <row r="30" spans="1:10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</row>
    <row r="31" spans="1:10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</row>
    <row r="32" spans="1:10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</row>
    <row r="33" spans="1:10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</row>
    <row r="34" spans="1:10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</row>
    <row r="35" spans="1:10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</row>
    <row r="36" spans="1:10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</row>
    <row r="37" spans="1:10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</row>
    <row r="38" spans="1:10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</row>
    <row r="39" spans="1:100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</row>
    <row r="40" spans="1:10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</row>
    <row r="41" spans="1:100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</row>
    <row r="42" spans="1:100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</row>
    <row r="43" spans="1:100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</row>
    <row r="44" spans="1:100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</row>
    <row r="45" spans="1:100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</row>
    <row r="46" spans="1:100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</row>
    <row r="47" spans="1:100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</row>
    <row r="48" spans="1:100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</row>
    <row r="49" spans="1:100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</row>
    <row r="50" spans="1:100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</row>
    <row r="51" spans="1:100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</row>
    <row r="52" spans="1:100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</row>
    <row r="53" spans="1:100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</row>
    <row r="54" spans="1:100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</row>
    <row r="55" spans="1:100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</row>
    <row r="56" spans="1:100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</row>
    <row r="57" spans="1:100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</row>
    <row r="58" spans="1:100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</row>
    <row r="59" spans="1:100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</row>
    <row r="60" spans="1:100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</row>
    <row r="61" spans="1:100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</row>
    <row r="62" spans="1:100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</row>
    <row r="63" spans="1:100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</row>
    <row r="64" spans="1:100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</row>
    <row r="65" spans="1:100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</row>
    <row r="66" spans="1:100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</row>
    <row r="67" spans="1:100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</row>
    <row r="68" spans="1:100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</row>
    <row r="69" spans="1:100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</row>
    <row r="70" spans="1:10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</row>
    <row r="71" spans="1:100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</row>
    <row r="73" spans="1:100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</row>
    <row r="74" spans="1:100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</row>
    <row r="75" spans="1:100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</row>
    <row r="76" spans="1:100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</row>
    <row r="77" spans="1:100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</row>
    <row r="78" spans="1:100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</row>
    <row r="79" spans="1:100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</row>
    <row r="80" spans="1:100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</row>
    <row r="81" spans="1:100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</row>
    <row r="82" spans="1:100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</row>
    <row r="83" spans="1:100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</row>
    <row r="84" spans="1:100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</row>
    <row r="85" spans="1:100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</row>
    <row r="86" spans="1:100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</row>
    <row r="87" spans="1:100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</row>
    <row r="88" spans="1:100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</row>
    <row r="89" spans="1:100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</row>
    <row r="90" spans="1:100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</row>
    <row r="91" spans="1:100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</row>
    <row r="92" spans="1:100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</row>
    <row r="93" spans="1:100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</row>
    <row r="94" spans="1:100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</row>
    <row r="95" spans="1:100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</row>
    <row r="96" spans="1:100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</row>
    <row r="97" spans="1:100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</row>
    <row r="98" spans="1:100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</row>
    <row r="99" spans="1:100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</row>
    <row r="100" spans="1:100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</row>
    <row r="101" spans="1:100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</row>
    <row r="102" spans="1:100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</row>
    <row r="103" spans="1:100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</row>
    <row r="104" spans="1:100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</row>
    <row r="105" spans="1:100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</row>
    <row r="106" spans="1:100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</row>
    <row r="107" spans="1:100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</row>
    <row r="108" spans="1:100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</row>
    <row r="109" spans="1:100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</row>
    <row r="110" spans="1:100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</row>
    <row r="111" spans="1:100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</row>
    <row r="112" spans="1:100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</row>
    <row r="113" spans="1:100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</row>
    <row r="114" spans="1:100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</row>
    <row r="115" spans="1:100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</row>
    <row r="116" spans="1:100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</row>
    <row r="117" spans="1:100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</row>
    <row r="118" spans="1:100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</row>
    <row r="119" spans="1:100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</row>
    <row r="120" spans="1:100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</row>
    <row r="121" spans="1:100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</row>
    <row r="122" spans="1:100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</row>
    <row r="123" spans="1:100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</row>
    <row r="124" spans="1:100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</row>
    <row r="125" spans="1:100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</row>
    <row r="126" spans="1:100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</row>
    <row r="127" spans="1:100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</row>
    <row r="128" spans="1:100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</row>
    <row r="129" spans="1:100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</row>
    <row r="130" spans="1:100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</row>
    <row r="131" spans="1:100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</row>
    <row r="132" spans="1:100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</row>
    <row r="133" spans="1:100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</row>
    <row r="134" spans="1:100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</row>
    <row r="135" spans="1:100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</row>
    <row r="136" spans="1:100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</row>
    <row r="137" spans="1:100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</row>
    <row r="138" spans="1:100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</row>
    <row r="139" spans="1:100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</row>
    <row r="140" spans="1:100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</row>
    <row r="141" spans="1:100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</row>
    <row r="142" spans="1:100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</row>
    <row r="143" spans="1:100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</row>
    <row r="144" spans="1:100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</row>
    <row r="145" spans="1:100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</row>
    <row r="146" spans="1:100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</row>
    <row r="147" spans="1:100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</row>
    <row r="148" spans="1:100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</row>
    <row r="149" spans="1:100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</row>
    <row r="150" spans="1:100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</row>
    <row r="151" spans="1:100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</row>
    <row r="152" spans="1:100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</row>
    <row r="153" spans="1:100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</row>
    <row r="154" spans="1:100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</row>
    <row r="155" spans="1:100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</row>
    <row r="156" spans="1:100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</row>
    <row r="157" spans="1:100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</row>
    <row r="158" spans="1:100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</row>
    <row r="159" spans="1:100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</row>
    <row r="160" spans="1:100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</row>
    <row r="161" spans="1:100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</row>
    <row r="162" spans="1:100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</row>
    <row r="163" spans="1:100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</row>
    <row r="164" spans="1:100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</row>
    <row r="165" spans="1:100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</row>
    <row r="166" spans="1:100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</row>
    <row r="167" spans="1:100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</row>
    <row r="168" spans="1:100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</row>
    <row r="169" spans="1:100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</row>
    <row r="170" spans="1:100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</row>
    <row r="171" spans="1:100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</row>
    <row r="172" spans="1:100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</row>
    <row r="173" spans="1:100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</row>
    <row r="174" spans="1:100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</row>
    <row r="175" spans="1:100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</row>
    <row r="176" spans="1:100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</row>
    <row r="177" spans="1:100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</row>
    <row r="178" spans="1:100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</row>
    <row r="179" spans="1:100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</row>
    <row r="180" spans="1:100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</row>
    <row r="181" spans="1:100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</row>
    <row r="182" spans="1:100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</row>
    <row r="183" spans="1:100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</row>
    <row r="184" spans="1:100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</row>
    <row r="185" spans="1:100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</row>
    <row r="186" spans="1:100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</row>
    <row r="187" spans="1:100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</row>
    <row r="188" spans="1:100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</row>
    <row r="189" spans="1:100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</row>
    <row r="190" spans="1:100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</row>
    <row r="191" spans="1:100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</row>
    <row r="192" spans="1:100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</row>
    <row r="193" spans="1:100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</row>
    <row r="194" spans="1:100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</row>
    <row r="195" spans="1:100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</row>
    <row r="196" spans="1:100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</row>
    <row r="197" spans="1:100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</row>
    <row r="198" spans="1:100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</row>
    <row r="199" spans="1:100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</row>
    <row r="200" spans="1:100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</row>
    <row r="201" spans="1:100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</row>
    <row r="202" spans="1:100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</row>
    <row r="203" spans="1:100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</row>
    <row r="204" spans="1:100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</row>
    <row r="205" spans="1:100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</row>
    <row r="206" spans="1:100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</row>
    <row r="207" spans="1:100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</row>
    <row r="208" spans="1:100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</row>
    <row r="209" spans="1:100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</row>
    <row r="210" spans="1:100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</row>
    <row r="211" spans="1:100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</row>
    <row r="212" spans="1:100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</row>
    <row r="213" spans="1:100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</row>
    <row r="214" spans="1:100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</row>
    <row r="215" spans="1:100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</row>
    <row r="216" spans="1:100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</row>
    <row r="217" spans="1:100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</row>
    <row r="218" spans="1:100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</row>
    <row r="219" spans="1:100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</row>
    <row r="220" spans="1:100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</row>
    <row r="221" spans="1:100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</row>
    <row r="222" spans="1:100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</row>
    <row r="223" spans="1:100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</row>
    <row r="224" spans="1:100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</row>
    <row r="225" spans="1:100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</row>
    <row r="226" spans="1:100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</row>
    <row r="227" spans="1:100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</row>
    <row r="228" spans="1:100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</row>
    <row r="229" spans="1:100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</row>
    <row r="230" spans="1:100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</row>
    <row r="231" spans="1:100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</row>
    <row r="232" spans="1:100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</row>
    <row r="233" spans="1:100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</row>
    <row r="234" spans="1:100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</row>
    <row r="235" spans="1:100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</row>
    <row r="236" spans="1:100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</row>
    <row r="237" spans="1:100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</row>
    <row r="238" spans="1:100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</row>
    <row r="239" spans="1:100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</row>
    <row r="240" spans="1:100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</row>
    <row r="241" spans="1:100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</row>
    <row r="242" spans="1:100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</row>
    <row r="243" spans="1:100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</row>
    <row r="244" spans="1:100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</row>
    <row r="245" spans="1:100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</row>
    <row r="246" spans="1:100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</row>
    <row r="247" spans="1:100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</row>
    <row r="248" spans="1:100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</row>
    <row r="249" spans="1:100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</row>
    <row r="250" spans="1:100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</row>
    <row r="251" spans="1:100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</row>
    <row r="252" spans="1:100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</row>
    <row r="253" spans="1:100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</row>
    <row r="254" spans="1:100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</row>
    <row r="255" spans="1:100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</row>
    <row r="256" spans="1:100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</row>
    <row r="257" spans="1:100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</row>
    <row r="258" spans="1:100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</row>
    <row r="259" spans="1:100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</row>
    <row r="260" spans="1:100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</row>
    <row r="261" spans="1:100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</row>
    <row r="262" spans="1:100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</row>
    <row r="263" spans="1:100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</row>
    <row r="264" spans="1:100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</row>
    <row r="265" spans="1:100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</row>
    <row r="266" spans="1:100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</row>
    <row r="267" spans="1:100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</row>
    <row r="268" spans="1:100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</row>
    <row r="269" spans="1:100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</row>
    <row r="270" spans="1:100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</row>
    <row r="271" spans="1:100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</row>
    <row r="272" spans="1:100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</row>
    <row r="273" spans="1:100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</row>
    <row r="274" spans="1:100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</row>
    <row r="275" spans="1:100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</row>
    <row r="276" spans="1:100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</row>
    <row r="277" spans="1:100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</row>
    <row r="278" spans="1:100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</row>
    <row r="279" spans="1:100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</row>
    <row r="280" spans="1:100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</row>
    <row r="281" spans="1:100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</row>
    <row r="282" spans="1:100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</row>
    <row r="283" spans="1:100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</row>
    <row r="284" spans="1:100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</row>
    <row r="285" spans="1:100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</row>
    <row r="286" spans="1:100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</row>
    <row r="287" spans="1:100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</row>
    <row r="288" spans="1:100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</row>
    <row r="289" spans="1:100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</row>
    <row r="290" spans="1:100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</row>
    <row r="291" spans="1:100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</row>
    <row r="292" spans="1:100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</row>
    <row r="293" spans="1:100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</row>
    <row r="294" spans="1:100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</row>
    <row r="295" spans="1:100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</row>
    <row r="296" spans="1:100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</row>
    <row r="297" spans="1:100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</row>
    <row r="298" spans="1:100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</row>
    <row r="299" spans="1:100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</row>
    <row r="300" spans="1:100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</row>
    <row r="301" spans="1:100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</row>
    <row r="302" spans="1:100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</row>
    <row r="303" spans="1:100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</row>
    <row r="304" spans="1:100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</row>
    <row r="305" spans="1:100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</row>
    <row r="306" spans="1:100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</row>
    <row r="307" spans="1:100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</row>
    <row r="308" spans="1:100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</row>
    <row r="309" spans="1:100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</row>
    <row r="310" spans="1:100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</row>
    <row r="311" spans="1:100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</row>
    <row r="312" spans="1:100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</row>
    <row r="313" spans="1:100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</row>
    <row r="314" spans="1:100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</row>
    <row r="315" spans="1:100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</row>
    <row r="316" spans="1:100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</row>
    <row r="317" spans="1:100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</row>
    <row r="318" spans="1:100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</row>
    <row r="319" spans="1:100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</row>
    <row r="320" spans="1:100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</row>
    <row r="321" spans="1:100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</row>
    <row r="322" spans="1:100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</row>
    <row r="323" spans="1:100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</row>
    <row r="324" spans="1:100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</row>
    <row r="325" spans="1:100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</row>
    <row r="326" spans="1:100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</row>
    <row r="327" spans="1:100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</row>
    <row r="328" spans="1:100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</row>
    <row r="329" spans="1:100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</row>
    <row r="330" spans="1:100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</row>
    <row r="331" spans="1:100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</row>
    <row r="332" spans="1:100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</row>
    <row r="333" spans="1:100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</row>
    <row r="334" spans="1:100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</row>
    <row r="335" spans="1:100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</row>
    <row r="336" spans="1:100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</row>
    <row r="337" spans="1:100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</row>
    <row r="338" spans="1:100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</row>
    <row r="339" spans="1:100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</row>
    <row r="340" spans="1:100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</row>
    <row r="341" spans="1:100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</row>
    <row r="342" spans="1:100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</row>
    <row r="343" spans="1:100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</row>
    <row r="344" spans="1:100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</row>
    <row r="345" spans="1:100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</row>
    <row r="346" spans="1:100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</row>
    <row r="347" spans="1:100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</row>
    <row r="348" spans="1:100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</row>
    <row r="349" spans="1:100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</row>
    <row r="350" spans="1:100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</row>
    <row r="351" spans="1:100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</row>
    <row r="352" spans="1:100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</row>
    <row r="353" spans="1:100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</row>
    <row r="354" spans="1:100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</row>
    <row r="355" spans="1:100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</row>
    <row r="356" spans="1:100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</row>
    <row r="357" spans="1:100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</row>
    <row r="358" spans="1:100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</row>
    <row r="359" spans="1:100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</row>
    <row r="360" spans="1:100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</row>
    <row r="361" spans="1:100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</row>
    <row r="362" spans="1:100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</row>
    <row r="363" spans="1:100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</row>
    <row r="364" spans="1:100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</row>
    <row r="365" spans="1:100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</row>
    <row r="366" spans="1:100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</row>
    <row r="367" spans="1:100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</row>
    <row r="368" spans="1:100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</row>
    <row r="369" spans="1:100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</row>
    <row r="370" spans="1:100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</row>
    <row r="371" spans="1:100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</row>
    <row r="372" spans="1:100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</row>
    <row r="373" spans="1:100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</row>
    <row r="374" spans="1:100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</row>
    <row r="375" spans="1:100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</row>
    <row r="376" spans="1:100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</row>
    <row r="377" spans="1:100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</row>
    <row r="378" spans="1:100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</row>
    <row r="379" spans="1:100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</row>
    <row r="380" spans="1:100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</row>
    <row r="381" spans="1:100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</row>
    <row r="382" spans="1:100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</row>
    <row r="383" spans="1:100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</row>
    <row r="384" spans="1:100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</row>
    <row r="385" spans="1:100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</row>
    <row r="386" spans="1:100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</row>
    <row r="387" spans="1:100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</row>
    <row r="388" spans="1:100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</row>
    <row r="389" spans="1:100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</row>
    <row r="390" spans="1:100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</row>
    <row r="391" spans="1:100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</row>
    <row r="392" spans="1:100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</row>
    <row r="393" spans="1:100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</row>
    <row r="394" spans="1:100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</row>
    <row r="395" spans="1:100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</row>
    <row r="396" spans="1:100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</row>
    <row r="397" spans="1:100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</row>
    <row r="398" spans="1:100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</row>
    <row r="399" spans="1:100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</row>
    <row r="400" spans="1:100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</row>
    <row r="401" spans="1:100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</row>
    <row r="402" spans="1:100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</row>
    <row r="403" spans="1:100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</row>
    <row r="404" spans="1:100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</row>
    <row r="405" spans="1:100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</row>
    <row r="406" spans="1:100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</row>
    <row r="407" spans="1:100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</row>
    <row r="408" spans="1:100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</row>
    <row r="409" spans="1:100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</row>
    <row r="410" spans="1:100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</row>
    <row r="411" spans="1:100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</row>
    <row r="412" spans="1:100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</row>
    <row r="413" spans="1:100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</row>
    <row r="414" spans="1:100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</row>
    <row r="415" spans="1:100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</row>
    <row r="416" spans="1:100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</row>
    <row r="417" spans="1:100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</row>
    <row r="418" spans="1:100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</row>
    <row r="419" spans="1:100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</row>
    <row r="420" spans="1:100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</row>
    <row r="421" spans="1:100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</row>
    <row r="422" spans="1:100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</row>
    <row r="423" spans="1:100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</row>
    <row r="424" spans="1:100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</row>
    <row r="425" spans="1:100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</row>
    <row r="426" spans="1:100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</row>
    <row r="427" spans="1:100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</row>
    <row r="428" spans="1:100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</row>
    <row r="429" spans="1:100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</row>
    <row r="430" spans="1:100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</row>
    <row r="431" spans="1:100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</row>
    <row r="432" spans="1:100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</row>
    <row r="433" spans="1:100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</row>
    <row r="434" spans="1:100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</row>
    <row r="435" spans="1:100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</row>
    <row r="436" spans="1:100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</row>
    <row r="437" spans="1:100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</row>
    <row r="438" spans="1:100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</row>
    <row r="439" spans="1:100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</row>
    <row r="440" spans="1:100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</row>
    <row r="441" spans="1:100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</row>
    <row r="442" spans="1:100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</row>
    <row r="443" spans="1:100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</row>
    <row r="444" spans="1:100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</row>
    <row r="445" spans="1:100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</row>
    <row r="446" spans="1:100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</row>
    <row r="447" spans="1:100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</row>
    <row r="448" spans="1:100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</row>
    <row r="449" spans="1:100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</row>
    <row r="450" spans="1:100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</row>
    <row r="451" spans="1:100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</row>
    <row r="452" spans="1:100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</row>
    <row r="453" spans="1:100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</row>
    <row r="454" spans="1:100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</row>
    <row r="455" spans="1:100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</row>
    <row r="456" spans="1:100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</row>
    <row r="457" spans="1:100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</row>
    <row r="458" spans="1:100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</row>
    <row r="459" spans="1:100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</row>
    <row r="460" spans="1:100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</row>
    <row r="461" spans="1:100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</row>
    <row r="462" spans="1:100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</row>
    <row r="463" spans="1:100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</row>
    <row r="464" spans="1:100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</row>
    <row r="465" spans="1:100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</row>
    <row r="466" spans="1:100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</row>
    <row r="467" spans="1:100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</row>
    <row r="468" spans="1:100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</row>
    <row r="469" spans="1:100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</row>
    <row r="470" spans="1:100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</row>
    <row r="471" spans="1:100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</row>
    <row r="472" spans="1:100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</row>
    <row r="473" spans="1:100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</row>
    <row r="474" spans="1:100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</row>
    <row r="475" spans="1:100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</row>
    <row r="476" spans="1:100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</row>
    <row r="477" spans="1:100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</row>
    <row r="478" spans="1:100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</row>
    <row r="479" spans="1:100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</row>
    <row r="480" spans="1:100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</row>
    <row r="481" spans="1:100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</row>
    <row r="482" spans="1:100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</row>
    <row r="483" spans="1:100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</row>
    <row r="484" spans="1:100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</row>
    <row r="485" spans="1:100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</row>
    <row r="486" spans="1:100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</row>
    <row r="487" spans="1:100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</row>
    <row r="488" spans="1:100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</row>
    <row r="489" spans="1:100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</row>
    <row r="490" spans="1:100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</row>
    <row r="491" spans="1:100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</row>
    <row r="492" spans="1:100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</row>
    <row r="493" spans="1:100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</row>
    <row r="494" spans="1:100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</row>
    <row r="495" spans="1:100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</row>
    <row r="496" spans="1:100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</row>
    <row r="497" spans="1:100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</row>
    <row r="498" spans="1:100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</row>
    <row r="499" spans="1:100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</row>
    <row r="500" spans="1:100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7BDE-601D-4DD3-B924-F21CEF59E464}">
  <dimension ref="A1:CV500"/>
  <sheetViews>
    <sheetView workbookViewId="0"/>
  </sheetViews>
  <sheetFormatPr defaultColWidth="11" defaultRowHeight="15.75" x14ac:dyDescent="0.5"/>
  <sheetData>
    <row r="1" spans="1:100" 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</row>
    <row r="2" spans="1:100" dyDescent="0.5">
      <c r="A2">
        <v>0.5038687297207355</v>
      </c>
      <c r="B2">
        <v>0.1023678727652077</v>
      </c>
      <c r="C2">
        <v>0.46959391446046367</v>
      </c>
      <c r="D2">
        <v>4.719504730419967</v>
      </c>
      <c r="E2">
        <v>0.21045548733755504</v>
      </c>
      <c r="F2">
        <v>1.070411775637601</v>
      </c>
      <c r="G2">
        <v>1.258042940450937</v>
      </c>
      <c r="H2">
        <v>0.049098391398434395</v>
      </c>
      <c r="I2">
        <v>1.0115281087381898</v>
      </c>
      <c r="J2">
        <v>0.7237034269769769</v>
      </c>
      <c r="K2">
        <v>0.3892874901244521</v>
      </c>
      <c r="L2">
        <v>0.12470472304329111</v>
      </c>
      <c r="M2">
        <v>0.14895176671874388</v>
      </c>
      <c r="N2">
        <v>0.14840262095178075</v>
      </c>
      <c r="O2">
        <v>0.1661843010746767</v>
      </c>
      <c r="P2">
        <v>0.35608755857930824</v>
      </c>
      <c r="Q2">
        <v>0.35185400034485</v>
      </c>
      <c r="R2">
        <v>0.004233558234458377</v>
      </c>
      <c r="S2">
        <v>0.11298570368303681</v>
      </c>
      <c r="T2">
        <v>0.03319993154514333</v>
      </c>
      <c r="U2">
        <v>-0.041454800077324105</v>
      </c>
      <c r="V2">
        <v>0.673306599999993</v>
      </c>
      <c r="W2">
        <v>0.33204699999999976</v>
      </c>
      <c r="X2">
        <v>0.36334259999999974</v>
      </c>
      <c r="Y2">
        <v>0.031295599999999</v>
      </c>
      <c r="Z2">
        <v>0.01385270699999994</v>
      </c>
      <c r="AA2">
        <v>0.006159306314739588</v>
      </c>
      <c r="AB2">
        <v>0.04302773056862636</v>
      </c>
      <c r="AC2">
        <v>2.8052375450712355e-5</v>
      </c>
      <c r="AD2">
        <v>0.06987884659902573</v>
      </c>
      <c r="AE2">
        <v>0.002335892775673509</v>
      </c>
      <c r="AF2">
        <v>0.002666122256334427</v>
      </c>
      <c r="AG2">
        <v>0.14115772439416951</v>
      </c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</row>
    <row r="3" spans="1:100" dyDescent="0.5">
      <c r="A3">
        <v>0.46862452199858173</v>
      </c>
      <c r="B3">
        <v>0.10230525380300001</v>
      </c>
      <c r="C3">
        <v>0.4691347926094402</v>
      </c>
      <c r="D3">
        <v>4.752782631323027</v>
      </c>
      <c r="E3">
        <v>0.2101196111733982</v>
      </c>
      <c r="F3">
        <v>1.0777327672775037</v>
      </c>
      <c r="G3">
        <v>1.267771697252134</v>
      </c>
      <c r="H3">
        <v>0.048895276553259044</v>
      </c>
      <c r="I3">
        <v>1.015607006528549</v>
      </c>
      <c r="J3">
        <v>0.8232143305307187</v>
      </c>
      <c r="K3">
        <v>0.4346302428762623</v>
      </c>
      <c r="L3">
        <v>0.21706208932267412</v>
      </c>
      <c r="M3">
        <v>0.1519052570338707</v>
      </c>
      <c r="N3">
        <v>0.1520134070468931</v>
      </c>
      <c r="O3">
        <v>0.16883053334151546</v>
      </c>
      <c r="P3">
        <v>0.39898863410552365</v>
      </c>
      <c r="Q3">
        <v>0.3947549525899088</v>
      </c>
      <c r="R3">
        <v>0.004233681515614811</v>
      </c>
      <c r="S3">
        <v>0.11298576616091249</v>
      </c>
      <c r="T3">
        <v>0.03564160877073865</v>
      </c>
      <c r="U3">
        <v>-0.041454800077324105</v>
      </c>
      <c r="V3">
        <v>0.7609506000000006</v>
      </c>
      <c r="W3">
        <v>0.3699043</v>
      </c>
      <c r="X3">
        <v>0.40346259999999984</v>
      </c>
      <c r="Y3">
        <v>0.03355829999999981</v>
      </c>
      <c r="Z3">
        <v>0.030517090999999892</v>
      </c>
      <c r="AA3">
        <v>-0.008909877424774516</v>
      </c>
      <c r="AB3">
        <v>-0.14633758957277365</v>
      </c>
      <c r="AC3">
        <v>-1.8158625523132354e-5</v>
      </c>
      <c r="AD3">
        <v>-0.07948843581598704</v>
      </c>
      <c r="AE3">
        <v>-0.002143955388150661</v>
      </c>
      <c r="AF3">
        <v>-0.0032354048545593555</v>
      </c>
      <c r="AG3">
        <v>-0.021441294694315948</v>
      </c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</row>
    <row r="4" spans="1:100" dyDescent="0.5">
      <c r="A4">
        <v>0.5167234427915074</v>
      </c>
      <c r="B4">
        <v>0.10032624274455403</v>
      </c>
      <c r="C4">
        <v>0.465985438657349</v>
      </c>
      <c r="D4">
        <v>4.778093129610109</v>
      </c>
      <c r="E4">
        <v>0.2033991446759423</v>
      </c>
      <c r="F4">
        <v>1.0648386840067574</v>
      </c>
      <c r="G4">
        <v>1.260946320484993</v>
      </c>
      <c r="H4">
        <v>0.04767309538501104</v>
      </c>
      <c r="I4">
        <v>1.0038806264007345</v>
      </c>
      <c r="J4">
        <v>0.7628379065561735</v>
      </c>
      <c r="K4">
        <v>0.38236645931924984</v>
      </c>
      <c r="L4">
        <v>0.10438676338336064</v>
      </c>
      <c r="M4">
        <v>0.14863876329744835</v>
      </c>
      <c r="N4">
        <v>0.14758730620063357</v>
      </c>
      <c r="O4">
        <v>0.1682373830195242</v>
      </c>
      <c r="P4">
        <v>0.34471609653930757</v>
      </c>
      <c r="Q4">
        <v>0.3404825527046538</v>
      </c>
      <c r="R4">
        <v>0.004233543834653773</v>
      </c>
      <c r="S4">
        <v>0.11298568861675641</v>
      </c>
      <c r="T4">
        <v>0.03765036277994228</v>
      </c>
      <c r="U4">
        <v>-0.041454800077324105</v>
      </c>
      <c r="V4">
        <v>0.7151364</v>
      </c>
      <c r="W4">
        <v>0.3233407</v>
      </c>
      <c r="X4">
        <v>0.3588749</v>
      </c>
      <c r="Y4">
        <v>0.03553420000000016</v>
      </c>
      <c r="Z4">
        <v>0.011417285999999985</v>
      </c>
      <c r="AA4">
        <v>0.028557526114370818</v>
      </c>
      <c r="AB4">
        <v>-0.03288626103184146</v>
      </c>
      <c r="AC4">
        <v>1.4555947648971917e-5</v>
      </c>
      <c r="AD4">
        <v>0.0056308732293516165</v>
      </c>
      <c r="AE4">
        <v>-0.0002400408212913977</v>
      </c>
      <c r="AF4">
        <v>0.00015304666030172134</v>
      </c>
      <c r="AG4">
        <v>0.04488132451864948</v>
      </c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</row>
    <row r="5" spans="1:100" dyDescent="0.5">
      <c r="A5">
        <v>0.5099946304775483</v>
      </c>
      <c r="B5">
        <v>0.10324631797787293</v>
      </c>
      <c r="C5">
        <v>0.4691753590237916</v>
      </c>
      <c r="D5">
        <v>4.827651987238584</v>
      </c>
      <c r="E5">
        <v>0.22859589840627184</v>
      </c>
      <c r="F5">
        <v>1.1008451714494534</v>
      </c>
      <c r="G5">
        <v>1.294604372773894</v>
      </c>
      <c r="H5">
        <v>0.04926580236974642</v>
      </c>
      <c r="I5">
        <v>1.0317378391829384</v>
      </c>
      <c r="J5">
        <v>0.7591094464776629</v>
      </c>
      <c r="K5">
        <v>0.40540285063269854</v>
      </c>
      <c r="L5">
        <v>0.1447421481008419</v>
      </c>
      <c r="M5">
        <v>0.14920073520857277</v>
      </c>
      <c r="N5">
        <v>0.14916718050641242</v>
      </c>
      <c r="O5">
        <v>0.166716376765734</v>
      </c>
      <c r="P5">
        <v>0.3622546425656333</v>
      </c>
      <c r="Q5">
        <v>0.35802102495761967</v>
      </c>
      <c r="R5">
        <v>0.004233617608013627</v>
      </c>
      <c r="S5">
        <v>0.1129856877515704</v>
      </c>
      <c r="T5">
        <v>0.04314820806706527</v>
      </c>
      <c r="U5">
        <v>-0.041454800077324105</v>
      </c>
      <c r="V5">
        <v>0.6802506</v>
      </c>
      <c r="W5">
        <v>0.3267459</v>
      </c>
      <c r="X5">
        <v>0.3672569</v>
      </c>
      <c r="Y5">
        <v>0.040511000000000075</v>
      </c>
      <c r="Z5">
        <v>0.05762000199999999</v>
      </c>
      <c r="AA5">
        <v>0.010295203846674754</v>
      </c>
      <c r="AB5">
        <v>0.0043213678250504425</v>
      </c>
      <c r="AC5">
        <v>2.0066579540616554e-5</v>
      </c>
      <c r="AD5">
        <v>0.037022565582098</v>
      </c>
      <c r="AE5">
        <v>0.0013785258185838691</v>
      </c>
      <c r="AF5">
        <v>0.0012818030338777344</v>
      </c>
      <c r="AG5">
        <v>0.04237158623658514</v>
      </c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</row>
    <row r="6" spans="1:100" dyDescent="0.5">
      <c r="A6">
        <v>0.4950869607386743</v>
      </c>
      <c r="B6">
        <v>0.10301609375032375</v>
      </c>
      <c r="C6">
        <v>0.4683848791292894</v>
      </c>
      <c r="D6">
        <v>4.874910712749768</v>
      </c>
      <c r="E6">
        <v>0.2281527563001522</v>
      </c>
      <c r="F6">
        <v>1.1097710489795694</v>
      </c>
      <c r="G6">
        <v>1.3070667721754543</v>
      </c>
      <c r="H6">
        <v>0.048966677923687994</v>
      </c>
      <c r="I6">
        <v>1.036305505869692</v>
      </c>
      <c r="J6">
        <v>0.7561558814011773</v>
      </c>
      <c r="K6">
        <v>0.427764670225434</v>
      </c>
      <c r="L6">
        <v>0.1921663246967478</v>
      </c>
      <c r="M6">
        <v>0.1510501714412637</v>
      </c>
      <c r="N6">
        <v>0.15094149936532153</v>
      </c>
      <c r="O6">
        <v>0.16570576941856235</v>
      </c>
      <c r="P6">
        <v>0.38653133194074274</v>
      </c>
      <c r="Q6">
        <v>0.3822976563210926</v>
      </c>
      <c r="R6">
        <v>0.004233675619650167</v>
      </c>
      <c r="S6">
        <v>0.11298574493043981</v>
      </c>
      <c r="T6">
        <v>0.04123333828469125</v>
      </c>
      <c r="U6">
        <v>-0.041454800077324105</v>
      </c>
      <c r="V6">
        <v>0.6696851999999999</v>
      </c>
      <c r="W6">
        <v>0.3464195</v>
      </c>
      <c r="X6">
        <v>0.3850673</v>
      </c>
      <c r="Y6">
        <v>0.03864780000000006</v>
      </c>
      <c r="Z6">
        <v>0.03203343500000003</v>
      </c>
      <c r="AA6">
        <v>0.015084461764483834</v>
      </c>
      <c r="AB6">
        <v>0.029514866474932646</v>
      </c>
      <c r="AC6">
        <v>2.777575858839123e-5</v>
      </c>
      <c r="AD6">
        <v>0.009918301913034083</v>
      </c>
      <c r="AE6">
        <v>0.0004921960619158275</v>
      </c>
      <c r="AF6">
        <v>0.00015870747318065672</v>
      </c>
      <c r="AG6">
        <v>0.011504353176711968</v>
      </c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</row>
    <row r="7" spans="1:100" dyDescent="0.5">
      <c r="A7">
        <v>0.5013200170026499</v>
      </c>
      <c r="B7">
        <v>0.10361639348112042</v>
      </c>
      <c r="C7">
        <v>0.4709276575172402</v>
      </c>
      <c r="D7">
        <v>4.908225860228229</v>
      </c>
      <c r="E7">
        <v>0.21597998141775107</v>
      </c>
      <c r="F7">
        <v>1.126770195445327</v>
      </c>
      <c r="G7">
        <v>1.3202566989548905</v>
      </c>
      <c r="H7">
        <v>0.04938394724999885</v>
      </c>
      <c r="I7">
        <v>1.044838131109332</v>
      </c>
      <c r="J7">
        <v>0.7467466866276611</v>
      </c>
      <c r="K7">
        <v>0.4258540778653419</v>
      </c>
      <c r="L7">
        <v>0.18390285189962202</v>
      </c>
      <c r="M7">
        <v>0.150923628039621</v>
      </c>
      <c r="N7">
        <v>0.15054341951514078</v>
      </c>
      <c r="O7">
        <v>0.16442343477618998</v>
      </c>
      <c r="P7">
        <v>0.4094701970249261</v>
      </c>
      <c r="Q7">
        <v>0.4052364614957755</v>
      </c>
      <c r="R7">
        <v>0.004233735529150611</v>
      </c>
      <c r="S7">
        <v>0.11298585987629477</v>
      </c>
      <c r="T7">
        <v>0.01638388084041577</v>
      </c>
      <c r="U7">
        <v>-0.041454800077324105</v>
      </c>
      <c r="V7">
        <v>0.6459882</v>
      </c>
      <c r="W7">
        <v>0.3618771</v>
      </c>
      <c r="X7">
        <v>0.3769436</v>
      </c>
      <c r="Y7">
        <v>0.01506650000000004</v>
      </c>
      <c r="Z7">
        <v>0.03966130000000004</v>
      </c>
      <c r="AA7">
        <v>0.0390799641447462</v>
      </c>
      <c r="AB7">
        <v>0.0013841829999802035</v>
      </c>
      <c r="AC7">
        <v>2.184511199195386e-5</v>
      </c>
      <c r="AD7">
        <v>0.033060625269158074</v>
      </c>
      <c r="AE7">
        <v>0.0005761525934661582</v>
      </c>
      <c r="AF7">
        <v>0.0011707274802000437</v>
      </c>
      <c r="AG7">
        <v>0.05529112614513148</v>
      </c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</row>
    <row r="8" spans="1:100" dyDescent="0.5">
      <c r="A8">
        <v>0.5060890942252292</v>
      </c>
      <c r="B8">
        <v>0.10667379141851178</v>
      </c>
      <c r="C8">
        <v>0.4734009362739513</v>
      </c>
      <c r="D8">
        <v>4.974156614724333</v>
      </c>
      <c r="E8">
        <v>0.24984392019784019</v>
      </c>
      <c r="F8">
        <v>1.166025001293833</v>
      </c>
      <c r="G8">
        <v>1.3595674240625766</v>
      </c>
      <c r="H8">
        <v>0.0509835963057096</v>
      </c>
      <c r="I8">
        <v>1.0758264271153042</v>
      </c>
      <c r="J8">
        <v>0.7662749134972353</v>
      </c>
      <c r="K8">
        <v>0.4412672835187976</v>
      </c>
      <c r="L8">
        <v>0.2037622429199206</v>
      </c>
      <c r="M8">
        <v>0.15095559794509195</v>
      </c>
      <c r="N8">
        <v>0.15139277758348335</v>
      </c>
      <c r="O8">
        <v>0.16332108633368525</v>
      </c>
      <c r="P8">
        <v>0.41009198687076354</v>
      </c>
      <c r="Q8">
        <v>0.40585824828500955</v>
      </c>
      <c r="R8">
        <v>0.0042337385857540025</v>
      </c>
      <c r="S8">
        <v>0.11298597357168645</v>
      </c>
      <c r="T8">
        <v>0.03117529664803407</v>
      </c>
      <c r="U8">
        <v>-0.041454800077324105</v>
      </c>
      <c r="V8">
        <v>0.6302466</v>
      </c>
      <c r="W8">
        <v>0.3481111</v>
      </c>
      <c r="X8">
        <v>0.3769156</v>
      </c>
      <c r="Y8">
        <v>0.028804500000000073</v>
      </c>
      <c r="Z8">
        <v>0.06068910999999999</v>
      </c>
      <c r="AA8">
        <v>0.033645937715633505</v>
      </c>
      <c r="AB8">
        <v>0.01509136236691858</v>
      </c>
      <c r="AC8">
        <v>1.7776425807141158e-5</v>
      </c>
      <c r="AD8">
        <v>0.035421058710000015</v>
      </c>
      <c r="AE8">
        <v>0.0005978857734611465</v>
      </c>
      <c r="AF8">
        <v>0.001341307914921845</v>
      </c>
      <c r="AG8">
        <v>0.046626866666053264</v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</row>
    <row r="9" spans="1:100" dyDescent="0.5">
      <c r="A9">
        <v>0.5132299874947636</v>
      </c>
      <c r="B9">
        <v>0.10801433756356985</v>
      </c>
      <c r="C9">
        <v>0.4742566560030758</v>
      </c>
      <c r="D9">
        <v>5.053517331970929</v>
      </c>
      <c r="E9">
        <v>0.26574433441527595</v>
      </c>
      <c r="F9">
        <v>1.1949486426358302</v>
      </c>
      <c r="G9">
        <v>1.3910500708934874</v>
      </c>
      <c r="H9">
        <v>0.05154912568587332</v>
      </c>
      <c r="I9">
        <v>1.095788425086217</v>
      </c>
      <c r="J9">
        <v>0.775956877055874</v>
      </c>
      <c r="K9">
        <v>0.45085769126088954</v>
      </c>
      <c r="L9">
        <v>0.21401246296150223</v>
      </c>
      <c r="M9">
        <v>0.15099046501828037</v>
      </c>
      <c r="N9">
        <v>0.15191041961894852</v>
      </c>
      <c r="O9">
        <v>0.16228138984258506</v>
      </c>
      <c r="P9">
        <v>0.41597432072579066</v>
      </c>
      <c r="Q9">
        <v>0.4117405979281343</v>
      </c>
      <c r="R9">
        <v>0.004233722797656384</v>
      </c>
      <c r="S9">
        <v>0.11298606721876919</v>
      </c>
      <c r="T9">
        <v>0.03488337053509886</v>
      </c>
      <c r="U9">
        <v>-0.041454800077324105</v>
      </c>
      <c r="V9">
        <v>0.6142007999999999</v>
      </c>
      <c r="W9">
        <v>0.343093</v>
      </c>
      <c r="X9">
        <v>0.3752261</v>
      </c>
      <c r="Y9">
        <v>0.032133100000000074</v>
      </c>
      <c r="Z9">
        <v>0.050927918000000016</v>
      </c>
      <c r="AA9">
        <v>-0.010107774989128602</v>
      </c>
      <c r="AB9">
        <v>0.010729840183349585</v>
      </c>
      <c r="AC9">
        <v>1.230621966812735e-5</v>
      </c>
      <c r="AD9">
        <v>-0.013831856837529147</v>
      </c>
      <c r="AE9">
        <v>0.00040354371267804437</v>
      </c>
      <c r="AF9">
        <v>-0.0008269833426872553</v>
      </c>
      <c r="AG9">
        <v>0.02189500167638083</v>
      </c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</row>
    <row r="10" spans="1:100" dyDescent="0.5">
      <c r="A10">
        <v>0.5283401778413463</v>
      </c>
      <c r="B10">
        <v>0.10372699865341384</v>
      </c>
      <c r="C10">
        <v>0.4698832100491768</v>
      </c>
      <c r="D10">
        <v>5.087203174152638</v>
      </c>
      <c r="E10">
        <v>0.22304313683728744</v>
      </c>
      <c r="F10">
        <v>1.1686732391290613</v>
      </c>
      <c r="G10">
        <v>1.3718166835762924</v>
      </c>
      <c r="H10">
        <v>0.048989895459284644</v>
      </c>
      <c r="I10">
        <v>1.0683942885080309</v>
      </c>
      <c r="J10">
        <v>0.7864648117404784</v>
      </c>
      <c r="K10">
        <v>0.42764582427933173</v>
      </c>
      <c r="L10">
        <v>0.16883177947063804</v>
      </c>
      <c r="M10">
        <v>0.15081044706663926</v>
      </c>
      <c r="N10">
        <v>0.14995364536475259</v>
      </c>
      <c r="O10">
        <v>0.16305708226233132</v>
      </c>
      <c r="P10">
        <v>0.41728992445042745</v>
      </c>
      <c r="Q10">
        <v>0.4130562322334852</v>
      </c>
      <c r="R10">
        <v>0.004233692216942245</v>
      </c>
      <c r="S10">
        <v>0.11298612677614453</v>
      </c>
      <c r="T10">
        <v>0.010355899828904327</v>
      </c>
      <c r="U10">
        <v>-0.041454800077324105</v>
      </c>
      <c r="V10">
        <v>0.6470159</v>
      </c>
      <c r="W10">
        <v>0.3539436</v>
      </c>
      <c r="X10">
        <v>0.3630613</v>
      </c>
      <c r="Y10">
        <v>0.009117700000000024</v>
      </c>
      <c r="Z10">
        <v>-0.0012257839999999728</v>
      </c>
      <c r="AA10">
        <v>0.05454637854030709</v>
      </c>
      <c r="AB10">
        <v>0.034865675880901524</v>
      </c>
      <c r="AC10">
        <v>2.4699022411964725e-5</v>
      </c>
      <c r="AD10">
        <v>0.023082197960774112</v>
      </c>
      <c r="AE10">
        <v>-0.00016099902145294136</v>
      </c>
      <c r="AF10">
        <v>0.0008901267328237359</v>
      </c>
      <c r="AG10">
        <v>0.047235221284794654</v>
      </c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</row>
    <row r="11" spans="1:100" dyDescent="0.5">
      <c r="A11">
        <v>0.5352797935891237</v>
      </c>
      <c r="B11">
        <v>0.10827153043501225</v>
      </c>
      <c r="C11">
        <v>0.4752523284759107</v>
      </c>
      <c r="D11">
        <v>5.156948897493098</v>
      </c>
      <c r="E11">
        <v>0.26036523983574106</v>
      </c>
      <c r="F11">
        <v>1.2234084755710222</v>
      </c>
      <c r="G11">
        <v>1.4216275965629392</v>
      </c>
      <c r="H11">
        <v>0.05153060526321214</v>
      </c>
      <c r="I11">
        <v>1.110597960706606</v>
      </c>
      <c r="J11">
        <v>0.8129167749381185</v>
      </c>
      <c r="K11">
        <v>0.445537798878752</v>
      </c>
      <c r="L11">
        <v>0.18779634373047852</v>
      </c>
      <c r="M11">
        <v>0.15017194926398586</v>
      </c>
      <c r="N11">
        <v>0.15087118547058057</v>
      </c>
      <c r="O11">
        <v>0.16254423886054692</v>
      </c>
      <c r="P11">
        <v>0.42776344214615725</v>
      </c>
      <c r="Q11">
        <v>0.4235297118399285</v>
      </c>
      <c r="R11">
        <v>0.004233730306228784</v>
      </c>
      <c r="S11">
        <v>0.11298622219116797</v>
      </c>
      <c r="T11">
        <v>0.017774356732594736</v>
      </c>
      <c r="U11">
        <v>-0.041454800077324105</v>
      </c>
      <c r="V11">
        <v>0.6243320000000001</v>
      </c>
      <c r="W11">
        <v>0.3438254</v>
      </c>
      <c r="X11">
        <v>0.3596213</v>
      </c>
      <c r="Y11">
        <v>0.015795900000000064</v>
      </c>
      <c r="Z11">
        <v>0.07531548199999999</v>
      </c>
      <c r="AA11">
        <v>0.031313890056530264</v>
      </c>
      <c r="AB11">
        <v>0.0247281723445595</v>
      </c>
      <c r="AC11">
        <v>1.1150883612834323e-5</v>
      </c>
      <c r="AD11">
        <v>0.038730067210902594</v>
      </c>
      <c r="AE11">
        <v>0.0007934565087885205</v>
      </c>
      <c r="AF11">
        <v>0.0015098436186029142</v>
      </c>
      <c r="AG11">
        <v>0.026051327831739923</v>
      </c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</row>
    <row r="12" spans="1:100" dyDescent="0.5">
      <c r="A12">
        <v>0.5362847993526438</v>
      </c>
      <c r="B12">
        <v>0.10838325622008944</v>
      </c>
      <c r="C12">
        <v>0.47356963991012635</v>
      </c>
      <c r="D12">
        <v>5.2387678564748414</v>
      </c>
      <c r="E12">
        <v>0.2750518753365619</v>
      </c>
      <c r="F12">
        <v>1.240481093471182</v>
      </c>
      <c r="G12">
        <v>1.445909256523188</v>
      </c>
      <c r="H12">
        <v>0.0512753901535865</v>
      </c>
      <c r="I12">
        <v>1.1219529012547174</v>
      </c>
      <c r="J12">
        <v>0.8096103687409089</v>
      </c>
      <c r="K12">
        <v>0.4592797708051608</v>
      </c>
      <c r="L12">
        <v>0.21097850065504883</v>
      </c>
      <c r="M12">
        <v>0.1508640967948518</v>
      </c>
      <c r="N12">
        <v>0.15186582425295903</v>
      </c>
      <c r="O12">
        <v>0.16167484682140196</v>
      </c>
      <c r="P12">
        <v>0.4291444187819762</v>
      </c>
      <c r="Q12">
        <v>0.4249107279263291</v>
      </c>
      <c r="R12">
        <v>0.00423369085564706</v>
      </c>
      <c r="S12">
        <v>0.112986274580371</v>
      </c>
      <c r="T12">
        <v>0.030135352023184632</v>
      </c>
      <c r="U12">
        <v>-0.041454800077324105</v>
      </c>
      <c r="V12">
        <v>0.6063371</v>
      </c>
      <c r="W12">
        <v>0.3388876</v>
      </c>
      <c r="X12">
        <v>0.3662593</v>
      </c>
      <c r="Y12">
        <v>0.027371700000000096</v>
      </c>
      <c r="Z12">
        <v>0.039730718</v>
      </c>
      <c r="AA12">
        <v>0.013593041506958772</v>
      </c>
      <c r="AB12">
        <v>0.040697091477447093</v>
      </c>
      <c r="AC12">
        <v>7.467392930650107e-6</v>
      </c>
      <c r="AD12">
        <v>0.032899969637395915</v>
      </c>
      <c r="AE12">
        <v>0.0009755208841599522</v>
      </c>
      <c r="AF12">
        <v>0.0013053443611725879</v>
      </c>
      <c r="AG12">
        <v>0.030399827998208416</v>
      </c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</row>
    <row r="13" spans="1:100" dyDescent="0.5">
      <c r="A13">
        <v>0.5388606558877123</v>
      </c>
      <c r="B13">
        <v>0.1061341511717211</v>
      </c>
      <c r="C13">
        <v>0.47026916647467726</v>
      </c>
      <c r="D13">
        <v>5.303134797746604</v>
      </c>
      <c r="E13">
        <v>0.26066564640429046</v>
      </c>
      <c r="F13">
        <v>1.235867866790381</v>
      </c>
      <c r="G13">
        <v>1.4491291380636446</v>
      </c>
      <c r="H13">
        <v>0.04972578880098272</v>
      </c>
      <c r="I13">
        <v>1.113537835351765</v>
      </c>
      <c r="J13">
        <v>0.8157354947894292</v>
      </c>
      <c r="K13">
        <v>0.4609814338220949</v>
      </c>
      <c r="L13">
        <v>0.214358266107693</v>
      </c>
      <c r="M13">
        <v>0.1513305095788468</v>
      </c>
      <c r="N13">
        <v>0.15206775067256662</v>
      </c>
      <c r="O13">
        <v>0.1616775568692188</v>
      </c>
      <c r="P13">
        <v>0.43634156449837824</v>
      </c>
      <c r="Q13">
        <v>0.43210790778336944</v>
      </c>
      <c r="R13">
        <v>0.004233656715008802</v>
      </c>
      <c r="S13">
        <v>0.1129862908658916</v>
      </c>
      <c r="T13">
        <v>0.02463986932371667</v>
      </c>
      <c r="U13">
        <v>-0.041454800077324105</v>
      </c>
      <c r="V13">
        <v>0.6161426</v>
      </c>
      <c r="W13">
        <v>0.3473745</v>
      </c>
      <c r="X13">
        <v>0.3695818</v>
      </c>
      <c r="Y13">
        <v>0.02220730000000013</v>
      </c>
      <c r="Z13">
        <v>0.01924128600000001</v>
      </c>
      <c r="AA13">
        <v>0.021744112817964664</v>
      </c>
      <c r="AB13">
        <v>0.04058163675138195</v>
      </c>
      <c r="AC13">
        <v>2.0459823456481735e-6</v>
      </c>
      <c r="AD13">
        <v>0.021162402544988773</v>
      </c>
      <c r="AE13">
        <v>9.749148487532874e-5</v>
      </c>
      <c r="AF13">
        <v>0.0009864396652774369</v>
      </c>
      <c r="AG13">
        <v>0.0030681485471640416</v>
      </c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</row>
    <row r="14" spans="1:100" dyDescent="0.5">
      <c r="A14">
        <v>0.548179324402923</v>
      </c>
      <c r="B14">
        <v>0.10537903557214905</v>
      </c>
      <c r="C14">
        <v>0.4694283092542099</v>
      </c>
      <c r="D14">
        <v>5.358916198407392</v>
      </c>
      <c r="E14">
        <v>0.25449196055977086</v>
      </c>
      <c r="F14">
        <v>1.2427389064874965</v>
      </c>
      <c r="G14">
        <v>1.4593277681252734</v>
      </c>
      <c r="H14">
        <v>0.04912867517457393</v>
      </c>
      <c r="I14">
        <v>1.1147924571465402</v>
      </c>
      <c r="J14">
        <v>0.8006948393742344</v>
      </c>
      <c r="K14">
        <v>0.4573323514274019</v>
      </c>
      <c r="L14">
        <v>0.20396342035828477</v>
      </c>
      <c r="M14">
        <v>0.15064409212206922</v>
      </c>
      <c r="N14">
        <v>0.15183135641488762</v>
      </c>
      <c r="O14">
        <v>0.16093892607267396</v>
      </c>
      <c r="P14">
        <v>0.4400676215248025</v>
      </c>
      <c r="Q14">
        <v>0.4358340038117446</v>
      </c>
      <c r="R14">
        <v>0.004233617713057949</v>
      </c>
      <c r="S14">
        <v>0.11298626753923645</v>
      </c>
      <c r="T14">
        <v>0.017264729902599397</v>
      </c>
      <c r="U14">
        <v>-0.041454800077324105</v>
      </c>
      <c r="V14">
        <v>0.5959468</v>
      </c>
      <c r="W14">
        <v>0.3483826</v>
      </c>
      <c r="X14">
        <v>0.3635801</v>
      </c>
      <c r="Y14">
        <v>0.015197500000000138</v>
      </c>
      <c r="Z14">
        <v>0.030091963000000003</v>
      </c>
      <c r="AA14">
        <v>-0.0006695879400155361</v>
      </c>
      <c r="AB14">
        <v>0.048655958790737495</v>
      </c>
      <c r="AC14">
        <v>-5.847075113239616e-6</v>
      </c>
      <c r="AD14">
        <v>-0.013838020877015285</v>
      </c>
      <c r="AE14">
        <v>-0.0007886422881531965</v>
      </c>
      <c r="AF14">
        <v>-0.00035252550033532343</v>
      </c>
      <c r="AG14">
        <v>-0.0030360919262321317</v>
      </c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</row>
    <row r="15" spans="1:100" dyDescent="0.5">
      <c r="A15">
        <v>0.560236875135853</v>
      </c>
      <c r="B15">
        <v>0.10224883797247232</v>
      </c>
      <c r="C15">
        <v>0.46720302289971627</v>
      </c>
      <c r="D15">
        <v>5.375646949595572</v>
      </c>
      <c r="E15">
        <v>0.21753146224869263</v>
      </c>
      <c r="F15">
        <v>1.2230622364884218</v>
      </c>
      <c r="G15">
        <v>1.4421901178384606</v>
      </c>
      <c r="H15">
        <v>0.04730341198560994</v>
      </c>
      <c r="I15">
        <v>1.093406964125661</v>
      </c>
      <c r="J15">
        <v>0.8039605717339213</v>
      </c>
      <c r="K15">
        <v>0.43682194785935824</v>
      </c>
      <c r="L15">
        <v>0.16483330763077225</v>
      </c>
      <c r="M15">
        <v>0.14947596397243437</v>
      </c>
      <c r="N15">
        <v>0.15039579668858893</v>
      </c>
      <c r="O15">
        <v>0.16137688792597024</v>
      </c>
      <c r="P15">
        <v>0.4452938991038762</v>
      </c>
      <c r="Q15">
        <v>0.44106033314203014</v>
      </c>
      <c r="R15">
        <v>0.004233565961846073</v>
      </c>
      <c r="S15">
        <v>0.11298619333542842</v>
      </c>
      <c r="T15">
        <v>-0.0084719512445179</v>
      </c>
      <c r="U15">
        <v>-0.041454800077324105</v>
      </c>
      <c r="V15">
        <v>0.6161714999999999</v>
      </c>
      <c r="W15">
        <v>0.3605153</v>
      </c>
      <c r="X15">
        <v>0.351515</v>
      </c>
      <c r="Y15">
        <v>-0.009000299999999826</v>
      </c>
      <c r="Z15">
        <v>0.005008896000000009</v>
      </c>
      <c r="AA15">
        <v>-0.0338193444141244</v>
      </c>
      <c r="AB15">
        <v>0.026853330218537377</v>
      </c>
      <c r="AC15">
        <v>-1.4792660485162424e-5</v>
      </c>
      <c r="AD15">
        <v>0.003912780941913177</v>
      </c>
      <c r="AE15">
        <v>0.0006636184275710058</v>
      </c>
      <c r="AF15">
        <v>0.0002525140010011532</v>
      </c>
      <c r="AG15">
        <v>0.04479040178824913</v>
      </c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</row>
    <row r="16" spans="1:100" dyDescent="0.5">
      <c r="A16">
        <v>0.5471225708164033</v>
      </c>
      <c r="B16">
        <v>0.09583887582907225</v>
      </c>
      <c r="C16">
        <v>0.458595865252553</v>
      </c>
      <c r="D16">
        <v>5.3484210115171535</v>
      </c>
      <c r="E16">
        <v>0.17420168085129295</v>
      </c>
      <c r="F16">
        <v>1.1605198277161892</v>
      </c>
      <c r="G16">
        <v>1.3917138049746254</v>
      </c>
      <c r="H16">
        <v>0.043433119760313645</v>
      </c>
      <c r="I16">
        <v>1.0427310260744767</v>
      </c>
      <c r="J16">
        <v>0.8533329023510134</v>
      </c>
      <c r="K16">
        <v>0.43082397265764916</v>
      </c>
      <c r="L16">
        <v>0.16703840420791322</v>
      </c>
      <c r="M16">
        <v>0.15044833367416982</v>
      </c>
      <c r="N16">
        <v>0.15041424300250303</v>
      </c>
      <c r="O16">
        <v>0.165260520616525</v>
      </c>
      <c r="P16">
        <v>0.4391955760484929</v>
      </c>
      <c r="Q16">
        <v>0.43496207228743267</v>
      </c>
      <c r="R16">
        <v>0.004233503761060307</v>
      </c>
      <c r="S16">
        <v>0.11298605971128067</v>
      </c>
      <c r="T16">
        <v>-0.008371603390843772</v>
      </c>
      <c r="U16">
        <v>-0.041454800077324105</v>
      </c>
      <c r="V16">
        <v>0.7172968000000002</v>
      </c>
      <c r="W16">
        <v>0.377622</v>
      </c>
      <c r="X16">
        <v>0.3690947</v>
      </c>
      <c r="Y16">
        <v>-0.0085272999999999</v>
      </c>
      <c r="Z16">
        <v>-0.03549193100000003</v>
      </c>
      <c r="AA16">
        <v>-0.03977047424713895</v>
      </c>
      <c r="AB16">
        <v>0.023717411563427302</v>
      </c>
      <c r="AC16">
        <v>-9.642566206880254e-6</v>
      </c>
      <c r="AD16">
        <v>-0.01814001788052238</v>
      </c>
      <c r="AE16">
        <v>0.00031046009880251763</v>
      </c>
      <c r="AF16">
        <v>-0.000778190051680195</v>
      </c>
      <c r="AG16">
        <v>-0.010561311534814386</v>
      </c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</row>
    <row r="17" spans="1:100" dyDescent="0.5">
      <c r="A17">
        <v>0.5391577171539986</v>
      </c>
      <c r="B17">
        <v>0.09068050803417955</v>
      </c>
      <c r="C17">
        <v>0.45326349345826267</v>
      </c>
      <c r="D17">
        <v>5.275032169938239</v>
      </c>
      <c r="E17">
        <v>0.12701861067473363</v>
      </c>
      <c r="F17">
        <v>1.100903884670117</v>
      </c>
      <c r="G17">
        <v>1.3361185385575138</v>
      </c>
      <c r="H17">
        <v>0.04055821915867247</v>
      </c>
      <c r="I17">
        <v>0.9952491402749504</v>
      </c>
      <c r="J17">
        <v>0.8586220173029926</v>
      </c>
      <c r="K17">
        <v>0.41375146913301075</v>
      </c>
      <c r="L17">
        <v>0.14586165145405455</v>
      </c>
      <c r="M17">
        <v>0.15049464477200802</v>
      </c>
      <c r="N17">
        <v>0.14939107641543656</v>
      </c>
      <c r="O17">
        <v>0.16893789120242386</v>
      </c>
      <c r="P17">
        <v>0.4347275568413846</v>
      </c>
      <c r="Q17">
        <v>0.43049406051861705</v>
      </c>
      <c r="R17">
        <v>0.004233496322767554</v>
      </c>
      <c r="S17">
        <v>0.11298592365578988</v>
      </c>
      <c r="T17">
        <v>-0.020976087708373843</v>
      </c>
      <c r="U17">
        <v>-0.041454800077324105</v>
      </c>
      <c r="V17">
        <v>0.7742219000000001</v>
      </c>
      <c r="W17">
        <v>0.395199</v>
      </c>
      <c r="X17">
        <v>0.3751231</v>
      </c>
      <c r="Y17">
        <v>-0.020075899999999945</v>
      </c>
      <c r="Z17">
        <v>-0.032726919000000035</v>
      </c>
      <c r="AA17">
        <v>-0.004998893403417895</v>
      </c>
      <c r="AB17">
        <v>-0.020772722685749985</v>
      </c>
      <c r="AC17">
        <v>-1.2971195148843223e-5</v>
      </c>
      <c r="AD17">
        <v>-0.04771764986068164</v>
      </c>
      <c r="AE17">
        <v>-0.0016130075989492728</v>
      </c>
      <c r="AF17">
        <v>-0.0017683208435401528</v>
      </c>
      <c r="AG17">
        <v>0.0380042928899686</v>
      </c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</row>
    <row r="18" spans="1:100" dyDescent="0.5">
      <c r="A18">
        <v>0.548109098434335</v>
      </c>
      <c r="B18">
        <v>0.0913535338362113</v>
      </c>
      <c r="C18">
        <v>0.4549712000700916</v>
      </c>
      <c r="D18">
        <v>5.206039103803394</v>
      </c>
      <c r="E18">
        <v>0.12866447717689117</v>
      </c>
      <c r="F18">
        <v>1.0911241993877416</v>
      </c>
      <c r="G18">
        <v>1.320271889451551</v>
      </c>
      <c r="H18">
        <v>0.04118217084653505</v>
      </c>
      <c r="I18">
        <v>0.991107605983473</v>
      </c>
      <c r="J18">
        <v>0.9059417750100582</v>
      </c>
      <c r="K18">
        <v>0.39736579793698784</v>
      </c>
      <c r="L18">
        <v>0.10787086823709269</v>
      </c>
      <c r="M18">
        <v>0.14859020262355702</v>
      </c>
      <c r="N18">
        <v>0.147982863018878</v>
      </c>
      <c r="O18">
        <v>0.1723952604364387</v>
      </c>
      <c r="P18">
        <v>0.4143506237765153</v>
      </c>
      <c r="Q18">
        <v>0.41011714504257823</v>
      </c>
      <c r="R18">
        <v>0.004233478733937116</v>
      </c>
      <c r="S18">
        <v>0.11298577510952175</v>
      </c>
      <c r="T18">
        <v>-0.016984825839527474</v>
      </c>
      <c r="U18">
        <v>-0.041454800077324105</v>
      </c>
      <c r="V18">
        <v>0.8274495</v>
      </c>
      <c r="W18">
        <v>0.3795222</v>
      </c>
      <c r="X18">
        <v>0.3632765</v>
      </c>
      <c r="Y18">
        <v>-0.016245699999999835</v>
      </c>
      <c r="Z18">
        <v>0.014359861999999987</v>
      </c>
      <c r="AA18">
        <v>-0.0041206420173830645</v>
      </c>
      <c r="AB18">
        <v>0.0003359889324731664</v>
      </c>
      <c r="AC18">
        <v>-8.254848747373208e-6</v>
      </c>
      <c r="AD18">
        <v>-0.018984395269336523</v>
      </c>
      <c r="AE18">
        <v>-0.0007493800602311189</v>
      </c>
      <c r="AF18">
        <v>-0.0006375692994492323</v>
      </c>
      <c r="AG18">
        <v>0.009494519658305074</v>
      </c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</row>
    <row r="19" spans="1:100" dyDescent="0.5">
      <c r="A19">
        <v>0.5366507400077418</v>
      </c>
      <c r="B19">
        <v>0.09206593570918892</v>
      </c>
      <c r="C19">
        <v>0.45606345108278723</v>
      </c>
      <c r="D19">
        <v>5.144845910392375</v>
      </c>
      <c r="E19">
        <v>0.13387915240458204</v>
      </c>
      <c r="F19">
        <v>1.082755277200368</v>
      </c>
      <c r="G19">
        <v>1.3076726164778942</v>
      </c>
      <c r="H19">
        <v>0.04174905373523364</v>
      </c>
      <c r="I19">
        <v>0.988591720889734</v>
      </c>
      <c r="J19">
        <v>0.9197340431971902</v>
      </c>
      <c r="K19">
        <v>0.40320600833212294</v>
      </c>
      <c r="L19">
        <v>0.12151105315321838</v>
      </c>
      <c r="M19">
        <v>0.1486714462483281</v>
      </c>
      <c r="N19">
        <v>0.1485381955332167</v>
      </c>
      <c r="O19">
        <v>0.1745571096270808</v>
      </c>
      <c r="P19">
        <v>0.4122253847880438</v>
      </c>
      <c r="Q19">
        <v>0.40799189435592326</v>
      </c>
      <c r="R19">
        <v>0.00423349043212063</v>
      </c>
      <c r="S19">
        <v>0.1129856438275246</v>
      </c>
      <c r="T19">
        <v>-0.009019376455920856</v>
      </c>
      <c r="U19">
        <v>-0.041454800077324105</v>
      </c>
      <c r="V19">
        <v>0.8477705</v>
      </c>
      <c r="W19">
        <v>0.3805743</v>
      </c>
      <c r="X19">
        <v>0.3719052</v>
      </c>
      <c r="Y19">
        <v>-0.00866909999999988</v>
      </c>
      <c r="Z19">
        <v>0.01569279300000001</v>
      </c>
      <c r="AA19">
        <v>-0.0062915069221618596</v>
      </c>
      <c r="AB19">
        <v>-0.0011251877772198186</v>
      </c>
      <c r="AC19">
        <v>-1.086993646520897e-5</v>
      </c>
      <c r="AD19">
        <v>-0.007988881742312853</v>
      </c>
      <c r="AE19">
        <v>-0.0005290643507153203</v>
      </c>
      <c r="AF19">
        <v>-0.00011374347161306303</v>
      </c>
      <c r="AG19">
        <v>0.01813144140860813</v>
      </c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</row>
    <row r="20" spans="1:100" dyDescent="0.5">
      <c r="A20">
        <v>0.5243320666973597</v>
      </c>
      <c r="B20">
        <v>0.09243494198945205</v>
      </c>
      <c r="C20">
        <v>0.45654329618100276</v>
      </c>
      <c r="D20">
        <v>5.089826671912579</v>
      </c>
      <c r="E20">
        <v>0.13776017415788985</v>
      </c>
      <c r="F20">
        <v>1.0726112151769844</v>
      </c>
      <c r="G20">
        <v>1.2945994915457033</v>
      </c>
      <c r="H20">
        <v>0.042077407725709594</v>
      </c>
      <c r="I20">
        <v>0.9843589975589241</v>
      </c>
      <c r="J20">
        <v>0.9351637329871018</v>
      </c>
      <c r="K20">
        <v>0.4097339484742321</v>
      </c>
      <c r="L20">
        <v>0.1379255721307547</v>
      </c>
      <c r="M20">
        <v>0.148925138506028</v>
      </c>
      <c r="N20">
        <v>0.14928893931068435</v>
      </c>
      <c r="O20">
        <v>0.17630109854754425</v>
      </c>
      <c r="P20">
        <v>0.41051897432173484</v>
      </c>
      <c r="Q20">
        <v>0.4062854894612639</v>
      </c>
      <c r="R20">
        <v>0.004233484860470933</v>
      </c>
      <c r="S20">
        <v>0.11298551189306615</v>
      </c>
      <c r="T20">
        <v>-0.0007850258475027103</v>
      </c>
      <c r="U20">
        <v>-0.041454800077324105</v>
      </c>
      <c r="V20">
        <v>0.8711848</v>
      </c>
      <c r="W20">
        <v>0.3826712</v>
      </c>
      <c r="X20">
        <v>0.3818435</v>
      </c>
      <c r="Y20">
        <v>-0.0008276999999998966</v>
      </c>
      <c r="Z20">
        <v>0.01401558800000002</v>
      </c>
      <c r="AA20">
        <v>-0.05655055048956985</v>
      </c>
      <c r="AB20">
        <v>0.04294575839100078</v>
      </c>
      <c r="AC20">
        <v>6.836860075841773e-7</v>
      </c>
      <c r="AD20">
        <v>-0.13392029827073373</v>
      </c>
      <c r="AE20">
        <v>-0.003022091327491478</v>
      </c>
      <c r="AF20">
        <v>-0.0052747693937641935</v>
      </c>
      <c r="AG20">
        <v>-0.03921808395456599</v>
      </c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</row>
    <row r="21" spans="1:100" dyDescent="0.5">
      <c r="A21">
        <v>0.5440949215405023</v>
      </c>
      <c r="B21">
        <v>0.08781781917526021</v>
      </c>
      <c r="C21">
        <v>0.45827404110275033</v>
      </c>
      <c r="D21">
        <v>4.939780854406269</v>
      </c>
      <c r="E21">
        <v>0.04067200248843855</v>
      </c>
      <c r="F21">
        <v>1.0122561908627759</v>
      </c>
      <c r="G21">
        <v>1.2197454560593954</v>
      </c>
      <c r="H21">
        <v>0.040204008530813636</v>
      </c>
      <c r="I21">
        <v>0.9306310848104844</v>
      </c>
      <c r="J21">
        <v>0.973596099773018</v>
      </c>
      <c r="K21">
        <v>0.3474350835521476</v>
      </c>
      <c r="L21">
        <v>0.018515355157455282</v>
      </c>
      <c r="M21">
        <v>0.14653633351450815</v>
      </c>
      <c r="N21">
        <v>0.14443467957686706</v>
      </c>
      <c r="O21">
        <v>0.1802718071933342</v>
      </c>
      <c r="P21">
        <v>0.42748926683383487</v>
      </c>
      <c r="Q21">
        <v>0.4232557356796514</v>
      </c>
      <c r="R21">
        <v>0.004233531154183506</v>
      </c>
      <c r="S21">
        <v>0.11298543119595664</v>
      </c>
      <c r="T21">
        <v>-0.08005418328168727</v>
      </c>
      <c r="U21">
        <v>-0.041454800077324105</v>
      </c>
      <c r="V21">
        <v>0.9600684000000002</v>
      </c>
      <c r="W21">
        <v>0.420774</v>
      </c>
      <c r="X21">
        <v>0.3454154</v>
      </c>
      <c r="Y21">
        <v>-0.07535859999999991</v>
      </c>
      <c r="Z21">
        <v>-0.03342522500000003</v>
      </c>
      <c r="AA21">
        <v>0.026152847369753474</v>
      </c>
      <c r="AB21">
        <v>-0.11964919422256928</v>
      </c>
      <c r="AC21">
        <v>-2.0318433258769652e-5</v>
      </c>
      <c r="AD21">
        <v>0.003254633915413611</v>
      </c>
      <c r="AE21">
        <v>-0.000506636678346647</v>
      </c>
      <c r="AF21">
        <v>0.00022396375574417596</v>
      </c>
      <c r="AG21">
        <v>-0.028297273930910697</v>
      </c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</row>
    <row r="22" spans="1:100" dyDescent="0.5">
      <c r="A22">
        <v>0.5182454064863593</v>
      </c>
      <c r="B22">
        <v>0.09357889220076411</v>
      </c>
      <c r="C22">
        <v>0.45812205408279083</v>
      </c>
      <c r="D22">
        <v>4.903623113410425</v>
      </c>
      <c r="E22">
        <v>0.14893780282748825</v>
      </c>
      <c r="F22">
        <v>1.0376583884143735</v>
      </c>
      <c r="G22">
        <v>1.2497485133039579</v>
      </c>
      <c r="H22">
        <v>0.04324752995040535</v>
      </c>
      <c r="I22">
        <v>0.9693025235437281</v>
      </c>
      <c r="J22">
        <v>0.9221588924796421</v>
      </c>
      <c r="K22">
        <v>0.39128308308716997</v>
      </c>
      <c r="L22">
        <v>0.10825070931704561</v>
      </c>
      <c r="M22">
        <v>0.14807041805459414</v>
      </c>
      <c r="N22">
        <v>0.14794988279190346</v>
      </c>
      <c r="O22">
        <v>0.17930922124007223</v>
      </c>
      <c r="P22">
        <v>0.37047517910052596</v>
      </c>
      <c r="Q22">
        <v>0.3662417150968194</v>
      </c>
      <c r="R22">
        <v>0.004233464003706617</v>
      </c>
      <c r="S22">
        <v>0.11298528637212288</v>
      </c>
      <c r="T22">
        <v>0.020807903986643977</v>
      </c>
      <c r="U22">
        <v>-0.041454800077324105</v>
      </c>
      <c r="V22">
        <v>0.8893427</v>
      </c>
      <c r="W22">
        <v>0.3576171</v>
      </c>
      <c r="X22">
        <v>0.3774024</v>
      </c>
      <c r="Y22">
        <v>0.019785300000000117</v>
      </c>
      <c r="Z22">
        <v>0.047600753</v>
      </c>
      <c r="AA22">
        <v>0.0014613907295879054</v>
      </c>
      <c r="AB22">
        <v>0.023699318508141616</v>
      </c>
      <c r="AC22">
        <v>7.332504744241247e-6</v>
      </c>
      <c r="AD22">
        <v>0.018629972367298256</v>
      </c>
      <c r="AE22">
        <v>0.000650656257491419</v>
      </c>
      <c r="AF22">
        <v>0.0006883947185158528</v>
      </c>
      <c r="AG22">
        <v>-0.030813213023420365</v>
      </c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</row>
    <row r="23" spans="1:100" dyDescent="0.5">
      <c r="A23">
        <v>0.4945045965856806</v>
      </c>
      <c r="B23">
        <v>0.0950475394219044</v>
      </c>
      <c r="C23">
        <v>0.4607484106048557</v>
      </c>
      <c r="D23">
        <v>4.871293701026004</v>
      </c>
      <c r="E23">
        <v>0.15141128657224562</v>
      </c>
      <c r="F23">
        <v>1.0446116535035668</v>
      </c>
      <c r="G23">
        <v>1.251011907210945</v>
      </c>
      <c r="H23">
        <v>0.044245537054322395</v>
      </c>
      <c r="I23">
        <v>0.9763037034223399</v>
      </c>
      <c r="J23">
        <v>0.8756978915184485</v>
      </c>
      <c r="K23">
        <v>0.41243874656244683</v>
      </c>
      <c r="L23">
        <v>0.15927632496712424</v>
      </c>
      <c r="M23">
        <v>0.1498579443990839</v>
      </c>
      <c r="N23">
        <v>0.14985068329094092</v>
      </c>
      <c r="O23">
        <v>0.17708480978354055</v>
      </c>
      <c r="P23">
        <v>0.39869577034564063</v>
      </c>
      <c r="Q23">
        <v>0.3944622208483297</v>
      </c>
      <c r="R23">
        <v>0.004233549497310921</v>
      </c>
      <c r="S23">
        <v>0.1129852324684998</v>
      </c>
      <c r="T23">
        <v>0.013742976216806188</v>
      </c>
      <c r="U23">
        <v>-0.041454800077324105</v>
      </c>
      <c r="V23">
        <v>0.8393884</v>
      </c>
      <c r="W23">
        <v>0.3817383</v>
      </c>
      <c r="X23">
        <v>0.3948064</v>
      </c>
      <c r="Y23">
        <v>0.013068100000000079</v>
      </c>
      <c r="Z23">
        <v>0.030169652</v>
      </c>
      <c r="AA23">
        <v>0.0009264369411456484</v>
      </c>
      <c r="AB23">
        <v>0.0376387439015984</v>
      </c>
      <c r="AC23">
        <v>1.0307939296435999e-5</v>
      </c>
      <c r="AD23">
        <v>-0.037016216735672174</v>
      </c>
      <c r="AE23">
        <v>-0.001191759837665688</v>
      </c>
      <c r="AF23">
        <v>-0.0014933536427233992</v>
      </c>
      <c r="AG23">
        <v>-0.010492215469916542</v>
      </c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</row>
    <row r="24" spans="1:100" dyDescent="0.5">
      <c r="A24">
        <v>0.5027655021344677</v>
      </c>
      <c r="B24">
        <v>0.09666100490946726</v>
      </c>
      <c r="C24">
        <v>0.46652400103841907</v>
      </c>
      <c r="D24">
        <v>4.820796611640179</v>
      </c>
      <c r="E24">
        <v>0.13203221369253118</v>
      </c>
      <c r="F24">
        <v>1.0539378010121057</v>
      </c>
      <c r="G24">
        <v>1.2468381522</v>
      </c>
      <c r="H24">
        <v>0.045612412927399607</v>
      </c>
      <c r="I24">
        <v>0.9815064686421298</v>
      </c>
      <c r="J24">
        <v>0.8849484829015446</v>
      </c>
      <c r="K24">
        <v>0.3961697761574732</v>
      </c>
      <c r="L24">
        <v>0.12390171510034496</v>
      </c>
      <c r="M24">
        <v>0.14874988080648133</v>
      </c>
      <c r="N24">
        <v>0.14844563310739378</v>
      </c>
      <c r="O24">
        <v>0.17619539354686825</v>
      </c>
      <c r="P24">
        <v>0.41914008518510676</v>
      </c>
      <c r="Q24">
        <v>0.41490648289921656</v>
      </c>
      <c r="R24">
        <v>0.004233602285890207</v>
      </c>
      <c r="S24">
        <v>0.11298523337324609</v>
      </c>
      <c r="T24">
        <v>-0.02297030902763362</v>
      </c>
      <c r="U24">
        <v>-0.041454800077324105</v>
      </c>
      <c r="V24">
        <v>0.8400052</v>
      </c>
      <c r="W24">
        <v>0.3976446</v>
      </c>
      <c r="X24">
        <v>0.3759685</v>
      </c>
      <c r="Y24">
        <v>-0.02167609999999997</v>
      </c>
      <c r="Z24">
        <v>0.032411622000000015</v>
      </c>
      <c r="AA24">
        <v>0.010129205574477981</v>
      </c>
      <c r="AB24">
        <v>0.020087155369868277</v>
      </c>
      <c r="AC24">
        <v>7.651600712064422e-6</v>
      </c>
      <c r="AD24">
        <v>0.02570044854964453</v>
      </c>
      <c r="AE24">
        <v>0.0006355854876202551</v>
      </c>
      <c r="AF24">
        <v>0.0010022803217387946</v>
      </c>
      <c r="AG24">
        <v>0.0439947572700044</v>
      </c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</row>
    <row r="25" spans="1:100" dyDescent="0.5">
      <c r="A25">
        <v>0.48415648937808237</v>
      </c>
      <c r="B25">
        <v>0.09883106954418074</v>
      </c>
      <c r="C25">
        <v>0.468025392216888</v>
      </c>
      <c r="D25">
        <v>4.798140770492084</v>
      </c>
      <c r="E25">
        <v>0.15798131600378232</v>
      </c>
      <c r="F25">
        <v>1.0648803888729472</v>
      </c>
      <c r="G25">
        <v>1.2556814495135176</v>
      </c>
      <c r="H25">
        <v>0.04687772750045701</v>
      </c>
      <c r="I25">
        <v>0.9949730907136739</v>
      </c>
      <c r="J25">
        <v>0.9297868407175549</v>
      </c>
      <c r="K25">
        <v>0.4204624231445736</v>
      </c>
      <c r="L25">
        <v>0.17256467034752201</v>
      </c>
      <c r="M25">
        <v>0.15012201087033875</v>
      </c>
      <c r="N25">
        <v>0.15036714058268488</v>
      </c>
      <c r="O25">
        <v>0.17703336384683</v>
      </c>
      <c r="P25">
        <v>0.4227425834910825</v>
      </c>
      <c r="Q25">
        <v>0.4185089676342436</v>
      </c>
      <c r="R25">
        <v>0.004233615856838935</v>
      </c>
      <c r="S25">
        <v>0.11298524781503992</v>
      </c>
      <c r="T25">
        <v>-0.0022801603465088917</v>
      </c>
      <c r="U25">
        <v>-0.041454800077324105</v>
      </c>
      <c r="V25">
        <v>0.8728384</v>
      </c>
      <c r="W25">
        <v>0.3970472</v>
      </c>
      <c r="X25">
        <v>0.3948536</v>
      </c>
      <c r="Y25">
        <v>-0.0021935999999999328</v>
      </c>
      <c r="Z25">
        <v>0.03393888300000002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</row>
    <row r="26" spans="1:10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</row>
    <row r="27" spans="1:10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</row>
    <row r="28" spans="1:10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</row>
    <row r="29" spans="1:10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</row>
    <row r="30" spans="1:10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</row>
    <row r="31" spans="1:10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</row>
    <row r="32" spans="1:10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</row>
    <row r="33" spans="1:10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</row>
    <row r="34" spans="1:10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</row>
    <row r="35" spans="1:10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</row>
    <row r="36" spans="1:10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</row>
    <row r="37" spans="1:10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</row>
    <row r="38" spans="1:10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</row>
    <row r="39" spans="1:100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</row>
    <row r="40" spans="1:10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</row>
    <row r="41" spans="1:100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</row>
    <row r="42" spans="1:100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</row>
    <row r="43" spans="1:100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</row>
    <row r="44" spans="1:100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</row>
    <row r="45" spans="1:100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</row>
    <row r="46" spans="1:100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</row>
    <row r="47" spans="1:100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</row>
    <row r="48" spans="1:100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</row>
    <row r="49" spans="1:100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</row>
    <row r="50" spans="1:100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</row>
    <row r="51" spans="1:100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</row>
    <row r="52" spans="1:100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</row>
    <row r="53" spans="1:100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</row>
    <row r="54" spans="1:100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</row>
    <row r="55" spans="1:100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</row>
    <row r="56" spans="1:100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</row>
    <row r="57" spans="1:100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</row>
    <row r="58" spans="1:100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</row>
    <row r="59" spans="1:100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</row>
    <row r="60" spans="1:100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</row>
    <row r="61" spans="1:100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</row>
    <row r="62" spans="1:100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</row>
    <row r="63" spans="1:100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</row>
    <row r="64" spans="1:100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</row>
    <row r="65" spans="1:100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</row>
    <row r="66" spans="1:100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</row>
    <row r="67" spans="1:100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</row>
    <row r="68" spans="1:100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</row>
    <row r="69" spans="1:100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</row>
    <row r="70" spans="1:10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</row>
    <row r="71" spans="1:100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</row>
    <row r="73" spans="1:100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</row>
    <row r="74" spans="1:100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</row>
    <row r="75" spans="1:100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</row>
    <row r="76" spans="1:100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</row>
    <row r="77" spans="1:100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</row>
    <row r="78" spans="1:100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</row>
    <row r="79" spans="1:100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</row>
    <row r="80" spans="1:100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</row>
    <row r="81" spans="1:100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</row>
    <row r="82" spans="1:100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</row>
    <row r="83" spans="1:100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</row>
    <row r="84" spans="1:100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</row>
    <row r="85" spans="1:100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</row>
    <row r="86" spans="1:100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</row>
    <row r="87" spans="1:100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</row>
    <row r="88" spans="1:100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</row>
    <row r="89" spans="1:100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</row>
    <row r="90" spans="1:100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</row>
    <row r="91" spans="1:100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</row>
    <row r="92" spans="1:100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</row>
    <row r="93" spans="1:100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</row>
    <row r="94" spans="1:100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</row>
    <row r="95" spans="1:100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</row>
    <row r="96" spans="1:100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</row>
    <row r="97" spans="1:100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</row>
    <row r="98" spans="1:100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</row>
    <row r="99" spans="1:100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</row>
    <row r="100" spans="1:100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</row>
    <row r="101" spans="1:100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</row>
    <row r="102" spans="1:100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</row>
    <row r="103" spans="1:100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</row>
    <row r="104" spans="1:100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</row>
    <row r="105" spans="1:100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</row>
    <row r="106" spans="1:100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</row>
    <row r="107" spans="1:100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</row>
    <row r="108" spans="1:100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</row>
    <row r="109" spans="1:100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</row>
    <row r="110" spans="1:100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</row>
    <row r="111" spans="1:100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</row>
    <row r="112" spans="1:100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</row>
    <row r="113" spans="1:100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</row>
    <row r="114" spans="1:100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</row>
    <row r="115" spans="1:100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</row>
    <row r="116" spans="1:100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</row>
    <row r="117" spans="1:100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</row>
    <row r="118" spans="1:100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</row>
    <row r="119" spans="1:100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</row>
    <row r="120" spans="1:100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</row>
    <row r="121" spans="1:100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</row>
    <row r="122" spans="1:100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</row>
    <row r="123" spans="1:100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</row>
    <row r="124" spans="1:100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</row>
    <row r="125" spans="1:100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</row>
    <row r="126" spans="1:100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</row>
    <row r="127" spans="1:100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</row>
    <row r="128" spans="1:100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</row>
    <row r="129" spans="1:100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</row>
    <row r="130" spans="1:100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</row>
    <row r="131" spans="1:100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</row>
    <row r="132" spans="1:100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</row>
    <row r="133" spans="1:100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</row>
    <row r="134" spans="1:100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</row>
    <row r="135" spans="1:100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</row>
    <row r="136" spans="1:100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</row>
    <row r="137" spans="1:100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</row>
    <row r="138" spans="1:100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</row>
    <row r="139" spans="1:100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</row>
    <row r="140" spans="1:100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</row>
    <row r="141" spans="1:100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</row>
    <row r="142" spans="1:100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</row>
    <row r="143" spans="1:100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</row>
    <row r="144" spans="1:100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</row>
    <row r="145" spans="1:100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</row>
    <row r="146" spans="1:100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</row>
    <row r="147" spans="1:100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</row>
    <row r="148" spans="1:100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</row>
    <row r="149" spans="1:100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</row>
    <row r="150" spans="1:100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</row>
    <row r="151" spans="1:100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</row>
    <row r="152" spans="1:100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</row>
    <row r="153" spans="1:100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</row>
    <row r="154" spans="1:100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</row>
    <row r="155" spans="1:100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</row>
    <row r="156" spans="1:100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</row>
    <row r="157" spans="1:100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</row>
    <row r="158" spans="1:100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</row>
    <row r="159" spans="1:100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</row>
    <row r="160" spans="1:100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</row>
    <row r="161" spans="1:100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</row>
    <row r="162" spans="1:100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</row>
    <row r="163" spans="1:100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</row>
    <row r="164" spans="1:100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</row>
    <row r="165" spans="1:100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</row>
    <row r="166" spans="1:100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</row>
    <row r="167" spans="1:100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</row>
    <row r="168" spans="1:100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</row>
    <row r="169" spans="1:100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</row>
    <row r="170" spans="1:100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</row>
    <row r="171" spans="1:100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</row>
    <row r="172" spans="1:100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</row>
    <row r="173" spans="1:100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</row>
    <row r="174" spans="1:100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</row>
    <row r="175" spans="1:100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</row>
    <row r="176" spans="1:100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</row>
    <row r="177" spans="1:100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</row>
    <row r="178" spans="1:100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</row>
    <row r="179" spans="1:100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</row>
    <row r="180" spans="1:100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</row>
    <row r="181" spans="1:100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</row>
    <row r="182" spans="1:100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</row>
    <row r="183" spans="1:100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</row>
    <row r="184" spans="1:100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</row>
    <row r="185" spans="1:100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</row>
    <row r="186" spans="1:100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</row>
    <row r="187" spans="1:100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</row>
    <row r="188" spans="1:100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</row>
    <row r="189" spans="1:100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</row>
    <row r="190" spans="1:100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</row>
    <row r="191" spans="1:100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</row>
    <row r="192" spans="1:100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</row>
    <row r="193" spans="1:100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</row>
    <row r="194" spans="1:100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</row>
    <row r="195" spans="1:100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</row>
    <row r="196" spans="1:100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</row>
    <row r="197" spans="1:100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</row>
    <row r="198" spans="1:100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</row>
    <row r="199" spans="1:100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</row>
    <row r="200" spans="1:100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</row>
    <row r="201" spans="1:100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</row>
    <row r="202" spans="1:100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</row>
    <row r="203" spans="1:100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</row>
    <row r="204" spans="1:100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</row>
    <row r="205" spans="1:100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</row>
    <row r="206" spans="1:100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</row>
    <row r="207" spans="1:100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</row>
    <row r="208" spans="1:100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</row>
    <row r="209" spans="1:100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</row>
    <row r="210" spans="1:100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</row>
    <row r="211" spans="1:100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</row>
    <row r="212" spans="1:100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</row>
    <row r="213" spans="1:100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</row>
    <row r="214" spans="1:100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</row>
    <row r="215" spans="1:100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</row>
    <row r="216" spans="1:100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</row>
    <row r="217" spans="1:100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</row>
    <row r="218" spans="1:100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</row>
    <row r="219" spans="1:100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</row>
    <row r="220" spans="1:100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</row>
    <row r="221" spans="1:100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</row>
    <row r="222" spans="1:100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</row>
    <row r="223" spans="1:100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</row>
    <row r="224" spans="1:100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</row>
    <row r="225" spans="1:100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</row>
    <row r="226" spans="1:100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</row>
    <row r="227" spans="1:100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</row>
    <row r="228" spans="1:100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</row>
    <row r="229" spans="1:100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</row>
    <row r="230" spans="1:100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</row>
    <row r="231" spans="1:100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</row>
    <row r="232" spans="1:100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</row>
    <row r="233" spans="1:100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</row>
    <row r="234" spans="1:100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</row>
    <row r="235" spans="1:100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</row>
    <row r="236" spans="1:100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</row>
    <row r="237" spans="1:100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</row>
    <row r="238" spans="1:100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</row>
    <row r="239" spans="1:100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</row>
    <row r="240" spans="1:100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</row>
    <row r="241" spans="1:100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</row>
    <row r="242" spans="1:100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</row>
    <row r="243" spans="1:100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</row>
    <row r="244" spans="1:100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</row>
    <row r="245" spans="1:100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</row>
    <row r="246" spans="1:100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</row>
    <row r="247" spans="1:100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</row>
    <row r="248" spans="1:100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</row>
    <row r="249" spans="1:100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</row>
    <row r="250" spans="1:100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</row>
    <row r="251" spans="1:100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</row>
    <row r="252" spans="1:100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</row>
    <row r="253" spans="1:100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</row>
    <row r="254" spans="1:100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</row>
    <row r="255" spans="1:100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</row>
    <row r="256" spans="1:100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</row>
    <row r="257" spans="1:100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</row>
    <row r="258" spans="1:100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</row>
    <row r="259" spans="1:100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</row>
    <row r="260" spans="1:100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</row>
    <row r="261" spans="1:100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</row>
    <row r="262" spans="1:100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</row>
    <row r="263" spans="1:100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</row>
    <row r="264" spans="1:100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</row>
    <row r="265" spans="1:100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</row>
    <row r="266" spans="1:100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</row>
    <row r="267" spans="1:100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</row>
    <row r="268" spans="1:100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</row>
    <row r="269" spans="1:100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</row>
    <row r="270" spans="1:100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</row>
    <row r="271" spans="1:100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</row>
    <row r="272" spans="1:100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</row>
    <row r="273" spans="1:100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</row>
    <row r="274" spans="1:100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</row>
    <row r="275" spans="1:100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</row>
    <row r="276" spans="1:100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</row>
    <row r="277" spans="1:100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</row>
    <row r="278" spans="1:100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</row>
    <row r="279" spans="1:100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</row>
    <row r="280" spans="1:100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</row>
    <row r="281" spans="1:100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</row>
    <row r="282" spans="1:100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</row>
    <row r="283" spans="1:100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</row>
    <row r="284" spans="1:100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</row>
    <row r="285" spans="1:100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</row>
    <row r="286" spans="1:100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</row>
    <row r="287" spans="1:100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</row>
    <row r="288" spans="1:100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</row>
    <row r="289" spans="1:100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</row>
    <row r="290" spans="1:100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</row>
    <row r="291" spans="1:100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</row>
    <row r="292" spans="1:100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</row>
    <row r="293" spans="1:100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</row>
    <row r="294" spans="1:100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</row>
    <row r="295" spans="1:100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</row>
    <row r="296" spans="1:100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</row>
    <row r="297" spans="1:100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</row>
    <row r="298" spans="1:100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</row>
    <row r="299" spans="1:100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</row>
    <row r="300" spans="1:100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</row>
    <row r="301" spans="1:100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</row>
    <row r="302" spans="1:100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</row>
    <row r="303" spans="1:100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</row>
    <row r="304" spans="1:100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</row>
    <row r="305" spans="1:100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</row>
    <row r="306" spans="1:100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</row>
    <row r="307" spans="1:100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</row>
    <row r="308" spans="1:100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</row>
    <row r="309" spans="1:100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</row>
    <row r="310" spans="1:100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</row>
    <row r="311" spans="1:100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</row>
    <row r="312" spans="1:100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</row>
    <row r="313" spans="1:100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</row>
    <row r="314" spans="1:100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</row>
    <row r="315" spans="1:100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</row>
    <row r="316" spans="1:100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</row>
    <row r="317" spans="1:100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</row>
    <row r="318" spans="1:100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</row>
    <row r="319" spans="1:100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</row>
    <row r="320" spans="1:100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</row>
    <row r="321" spans="1:100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</row>
    <row r="322" spans="1:100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</row>
    <row r="323" spans="1:100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</row>
    <row r="324" spans="1:100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</row>
    <row r="325" spans="1:100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</row>
    <row r="326" spans="1:100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</row>
    <row r="327" spans="1:100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</row>
    <row r="328" spans="1:100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</row>
    <row r="329" spans="1:100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</row>
    <row r="330" spans="1:100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</row>
    <row r="331" spans="1:100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</row>
    <row r="332" spans="1:100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</row>
    <row r="333" spans="1:100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</row>
    <row r="334" spans="1:100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</row>
    <row r="335" spans="1:100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</row>
    <row r="336" spans="1:100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</row>
    <row r="337" spans="1:100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</row>
    <row r="338" spans="1:100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</row>
    <row r="339" spans="1:100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</row>
    <row r="340" spans="1:100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</row>
    <row r="341" spans="1:100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</row>
    <row r="342" spans="1:100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</row>
    <row r="343" spans="1:100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</row>
    <row r="344" spans="1:100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</row>
    <row r="345" spans="1:100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</row>
    <row r="346" spans="1:100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</row>
    <row r="347" spans="1:100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</row>
    <row r="348" spans="1:100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</row>
    <row r="349" spans="1:100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</row>
    <row r="350" spans="1:100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</row>
    <row r="351" spans="1:100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</row>
    <row r="352" spans="1:100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</row>
    <row r="353" spans="1:100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</row>
    <row r="354" spans="1:100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</row>
    <row r="355" spans="1:100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</row>
    <row r="356" spans="1:100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</row>
    <row r="357" spans="1:100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</row>
    <row r="358" spans="1:100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</row>
    <row r="359" spans="1:100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</row>
    <row r="360" spans="1:100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</row>
    <row r="361" spans="1:100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</row>
    <row r="362" spans="1:100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</row>
    <row r="363" spans="1:100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</row>
    <row r="364" spans="1:100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</row>
    <row r="365" spans="1:100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</row>
    <row r="366" spans="1:100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</row>
    <row r="367" spans="1:100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</row>
    <row r="368" spans="1:100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</row>
    <row r="369" spans="1:100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</row>
    <row r="370" spans="1:100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</row>
    <row r="371" spans="1:100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</row>
    <row r="372" spans="1:100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</row>
    <row r="373" spans="1:100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</row>
    <row r="374" spans="1:100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</row>
    <row r="375" spans="1:100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</row>
    <row r="376" spans="1:100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</row>
    <row r="377" spans="1:100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</row>
    <row r="378" spans="1:100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</row>
    <row r="379" spans="1:100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</row>
    <row r="380" spans="1:100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</row>
    <row r="381" spans="1:100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</row>
    <row r="382" spans="1:100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</row>
    <row r="383" spans="1:100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</row>
    <row r="384" spans="1:100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</row>
    <row r="385" spans="1:100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</row>
    <row r="386" spans="1:100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</row>
    <row r="387" spans="1:100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</row>
    <row r="388" spans="1:100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</row>
    <row r="389" spans="1:100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</row>
    <row r="390" spans="1:100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</row>
    <row r="391" spans="1:100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</row>
    <row r="392" spans="1:100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</row>
    <row r="393" spans="1:100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</row>
    <row r="394" spans="1:100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</row>
    <row r="395" spans="1:100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</row>
    <row r="396" spans="1:100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</row>
    <row r="397" spans="1:100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</row>
    <row r="398" spans="1:100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</row>
    <row r="399" spans="1:100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</row>
    <row r="400" spans="1:100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</row>
    <row r="401" spans="1:100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</row>
    <row r="402" spans="1:100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</row>
    <row r="403" spans="1:100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</row>
    <row r="404" spans="1:100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</row>
    <row r="405" spans="1:100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</row>
    <row r="406" spans="1:100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</row>
    <row r="407" spans="1:100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</row>
    <row r="408" spans="1:100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</row>
    <row r="409" spans="1:100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</row>
    <row r="410" spans="1:100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</row>
    <row r="411" spans="1:100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</row>
    <row r="412" spans="1:100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</row>
    <row r="413" spans="1:100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</row>
    <row r="414" spans="1:100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</row>
    <row r="415" spans="1:100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</row>
    <row r="416" spans="1:100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</row>
    <row r="417" spans="1:100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</row>
    <row r="418" spans="1:100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</row>
    <row r="419" spans="1:100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</row>
    <row r="420" spans="1:100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</row>
    <row r="421" spans="1:100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</row>
    <row r="422" spans="1:100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</row>
    <row r="423" spans="1:100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</row>
    <row r="424" spans="1:100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</row>
    <row r="425" spans="1:100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</row>
    <row r="426" spans="1:100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</row>
    <row r="427" spans="1:100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</row>
    <row r="428" spans="1:100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</row>
    <row r="429" spans="1:100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</row>
    <row r="430" spans="1:100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</row>
    <row r="431" spans="1:100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</row>
    <row r="432" spans="1:100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</row>
    <row r="433" spans="1:100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</row>
    <row r="434" spans="1:100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</row>
    <row r="435" spans="1:100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</row>
    <row r="436" spans="1:100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</row>
    <row r="437" spans="1:100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</row>
    <row r="438" spans="1:100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</row>
    <row r="439" spans="1:100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</row>
    <row r="440" spans="1:100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</row>
    <row r="441" spans="1:100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</row>
    <row r="442" spans="1:100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</row>
    <row r="443" spans="1:100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</row>
    <row r="444" spans="1:100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</row>
    <row r="445" spans="1:100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</row>
    <row r="446" spans="1:100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</row>
    <row r="447" spans="1:100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</row>
    <row r="448" spans="1:100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</row>
    <row r="449" spans="1:100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</row>
    <row r="450" spans="1:100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</row>
    <row r="451" spans="1:100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</row>
    <row r="452" spans="1:100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</row>
    <row r="453" spans="1:100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</row>
    <row r="454" spans="1:100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</row>
    <row r="455" spans="1:100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</row>
    <row r="456" spans="1:100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</row>
    <row r="457" spans="1:100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</row>
    <row r="458" spans="1:100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</row>
    <row r="459" spans="1:100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</row>
    <row r="460" spans="1:100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</row>
    <row r="461" spans="1:100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</row>
    <row r="462" spans="1:100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</row>
    <row r="463" spans="1:100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</row>
    <row r="464" spans="1:100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</row>
    <row r="465" spans="1:100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</row>
    <row r="466" spans="1:100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</row>
    <row r="467" spans="1:100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</row>
    <row r="468" spans="1:100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</row>
    <row r="469" spans="1:100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</row>
    <row r="470" spans="1:100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</row>
    <row r="471" spans="1:100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</row>
    <row r="472" spans="1:100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</row>
    <row r="473" spans="1:100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</row>
    <row r="474" spans="1:100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</row>
    <row r="475" spans="1:100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</row>
    <row r="476" spans="1:100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</row>
    <row r="477" spans="1:100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</row>
    <row r="478" spans="1:100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</row>
    <row r="479" spans="1:100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</row>
    <row r="480" spans="1:100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</row>
    <row r="481" spans="1:100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</row>
    <row r="482" spans="1:100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</row>
    <row r="483" spans="1:100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</row>
    <row r="484" spans="1:100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</row>
    <row r="485" spans="1:100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</row>
    <row r="486" spans="1:100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</row>
    <row r="487" spans="1:100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</row>
    <row r="488" spans="1:100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</row>
    <row r="489" spans="1:100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</row>
    <row r="490" spans="1:100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</row>
    <row r="491" spans="1:100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</row>
    <row r="492" spans="1:100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</row>
    <row r="493" spans="1:100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</row>
    <row r="494" spans="1:100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</row>
    <row r="495" spans="1:100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</row>
    <row r="496" spans="1:100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</row>
    <row r="497" spans="1:100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</row>
    <row r="498" spans="1:100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</row>
    <row r="499" spans="1:100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</row>
    <row r="500" spans="1:100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9971A-F5C8-4328-8786-2D35E072E1B9}">
  <sheetPr>
    <tabColor theme="4" tint="-0.249977111117893"/>
  </sheetPr>
  <dimension ref="A1:BB93"/>
  <sheetViews>
    <sheetView zoomScale="8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defaultColWidth="11" defaultRowHeight="15.75" x14ac:dyDescent="0.5"/>
  <cols>
    <col min="2" max="27" width="15.75" style="2" customWidth="1"/>
    <col min="29" max="31" width="11.125" bestFit="1" customWidth="1"/>
    <col min="32" max="32" width="11.5" bestFit="1" customWidth="1"/>
    <col min="33" max="33" width="11.125" bestFit="1" customWidth="1"/>
    <col min="34" max="35" width="11.5" bestFit="1" customWidth="1"/>
    <col min="36" max="36" width="11.125" bestFit="1" customWidth="1"/>
    <col min="37" max="37" width="11.5" bestFit="1" customWidth="1"/>
    <col min="38" max="48" width="11.125" bestFit="1" customWidth="1"/>
    <col min="49" max="49" width="12.125" bestFit="1" customWidth="1"/>
    <col min="50" max="54" width="11.125" bestFit="1" customWidth="1"/>
  </cols>
  <sheetData>
    <row r="1" spans="1:54" dyDescent="0.5">
      <c r="B1" t="s" s="10">
        <v>26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C1" t="s" s="11">
        <v>27</v>
      </c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</row>
    <row r="2" spans="1:54" ht="78.75" dyDescent="0.5">
      <c r="A2" t="s" s="4">
        <v>28</v>
      </c>
      <c r="B2" t="str" s="4">
        <f>Smooth!A1</f>
        <v>Consumo privado</v>
      </c>
      <c r="C2" t="str" s="4">
        <f>Smooth!B1</f>
        <v>Retorno do capital</v>
      </c>
      <c r="D2" t="str" s="4">
        <f>Smooth!C1</f>
        <v>Trabalho</v>
      </c>
      <c r="E2" t="str" s="4">
        <f>Smooth!D1</f>
        <v>Capital privado</v>
      </c>
      <c r="F2" t="str" s="4">
        <f>Smooth!E1</f>
        <v>Investimento privado</v>
      </c>
      <c r="G2" t="str" s="4">
        <f>Smooth!F1</f>
        <v>Produto</v>
      </c>
      <c r="H2" t="str" s="4">
        <f>Smooth!G1</f>
        <v>Taxa de salário</v>
      </c>
      <c r="I2" t="str" s="4">
        <f>Smooth!H1</f>
        <v>Taxa de retorno dos ativos financeiros</v>
      </c>
      <c r="J2" t="str" s="4">
        <f>Smooth!I1</f>
        <v>Produtividade Total dos Fatores</v>
      </c>
      <c r="K2" t="str" s="4">
        <f>Smooth!J1</f>
        <v>Dívida bruta do governo</v>
      </c>
      <c r="L2" t="str" s="4">
        <f>Smooth!K1</f>
        <v>Receita fiscal</v>
      </c>
      <c r="M2" t="str" s="4">
        <f>Smooth!L1</f>
        <v>Taxa de imposto sobre consumo</v>
      </c>
      <c r="N2" t="str" s="4">
        <f>Smooth!M1</f>
        <v>Taxa de imposto sobre salário</v>
      </c>
      <c r="O2" t="str" s="4">
        <f>Smooth!N1</f>
        <v>Taxa de imposto sobre a renda do capital</v>
      </c>
      <c r="P2" t="str" s="4">
        <f>Smooth!O1</f>
        <v>Imposto Lump-Sum</v>
      </c>
      <c r="Q2" t="str" s="4">
        <f>Smooth!P1</f>
        <v>Gasto primário</v>
      </c>
      <c r="R2" t="str" s="4">
        <f>Smooth!Q1</f>
        <v>Consumo público corrente</v>
      </c>
      <c r="S2" t="str" s="4">
        <f>Smooth!R1</f>
        <v>Investimento público</v>
      </c>
      <c r="T2" t="str" s="4">
        <f>Smooth!S1</f>
        <v>Capital público</v>
      </c>
      <c r="U2" t="str" s="4">
        <f>Smooth!T1</f>
        <v>Resultado primário</v>
      </c>
      <c r="V2" t="str" s="4">
        <f>Smooth!U1</f>
        <v>Ajuste Estoque-Fluxo</v>
      </c>
      <c r="W2" t="str" s="4">
        <f>Smooth!V1</f>
        <v>Dívida como proporção do PIB</v>
      </c>
      <c r="X2" t="str" s="4">
        <f>Smooth!W1</f>
        <v>Gasto primário como proporção do PIB</v>
      </c>
      <c r="Y2" t="str" s="4">
        <f>Smooth!X1</f>
        <v>Receita fiscal como proporção do PIB</v>
      </c>
      <c r="Z2" t="str" s="4">
        <f>Smooth!Y1</f>
        <v>Resultado primário como proporção do PIB</v>
      </c>
      <c r="AA2" t="str" s="4">
        <f>Smooth!Z1</f>
        <v>Crescimento do PIB</v>
      </c>
      <c r="AC2" t="str" s="4">
        <f>Forecast!A1</f>
        <v>Consumo privado</v>
      </c>
      <c r="AD2" t="str" s="4">
        <f>Forecast!B1</f>
        <v>Retorno do capital</v>
      </c>
      <c r="AE2" t="str" s="4">
        <f>Forecast!C1</f>
        <v>Trabalho</v>
      </c>
      <c r="AF2" t="str" s="4">
        <f>Forecast!D1</f>
        <v>Capital privado</v>
      </c>
      <c r="AG2" t="str" s="4">
        <f>Forecast!E1</f>
        <v>Investimento privado</v>
      </c>
      <c r="AH2" t="str" s="4">
        <f>Forecast!F1</f>
        <v>Produto</v>
      </c>
      <c r="AI2" t="str" s="4">
        <f>Forecast!G1</f>
        <v>Taxa de salário</v>
      </c>
      <c r="AJ2" t="str" s="4">
        <f>Forecast!H1</f>
        <v>Taxa de retorno dos ativos financeiros</v>
      </c>
      <c r="AK2" t="str" s="4">
        <f>Forecast!I1</f>
        <v>Produtividade Total dos Fatores</v>
      </c>
      <c r="AL2" t="str" s="4">
        <f>Forecast!J1</f>
        <v>Dívida bruta do governo</v>
      </c>
      <c r="AM2" t="str" s="4">
        <f>Forecast!K1</f>
        <v>Receita fiscal</v>
      </c>
      <c r="AN2" t="str" s="4">
        <f>Forecast!L1</f>
        <v>Taxa de imposto sobre consumo</v>
      </c>
      <c r="AO2" t="str" s="4">
        <f>Forecast!M1</f>
        <v>Taxa de imposto sobre salário</v>
      </c>
      <c r="AP2" t="str" s="4">
        <f>Forecast!N1</f>
        <v>Taxa de imposto sobre a renda do capital</v>
      </c>
      <c r="AQ2" t="str" s="4">
        <f>Forecast!O1</f>
        <v>Imposto Lump-Sum</v>
      </c>
      <c r="AR2" t="str" s="4">
        <f>Forecast!P1</f>
        <v>Gasto primário</v>
      </c>
      <c r="AS2" t="str" s="4">
        <f>Forecast!Q1</f>
        <v>Consumo público corrente</v>
      </c>
      <c r="AT2" t="str" s="4">
        <f>Forecast!R1</f>
        <v>Investimento público</v>
      </c>
      <c r="AU2" t="str" s="4">
        <f>Forecast!S1</f>
        <v>Capital público</v>
      </c>
      <c r="AV2" t="str" s="4">
        <f>Forecast!T1</f>
        <v>Resultado primário</v>
      </c>
      <c r="AW2" t="str" s="4">
        <f>Forecast!U1</f>
        <v>Ajuste Estoque-Fluxo</v>
      </c>
      <c r="AX2" t="str" s="4">
        <f>Forecast!V1</f>
        <v>Dívida como proporção do PIB</v>
      </c>
      <c r="AY2" t="str" s="4">
        <f>Forecast!W1</f>
        <v>Gasto primário como proporção do PIB</v>
      </c>
      <c r="AZ2" t="str" s="4">
        <f>Forecast!X1</f>
        <v>Receita fiscal como proporção do PIB</v>
      </c>
      <c r="BA2" t="str" s="4">
        <f>Forecast!Y1</f>
        <v>Resultado primário como proporção do PIB</v>
      </c>
      <c r="BB2" t="str" s="4">
        <f>Forecast!Z1</f>
        <v>Crescimento do PIB</v>
      </c>
    </row>
    <row r="3" spans="1:54" dyDescent="0.5">
      <c r="A3" s="3">
        <v>2001</v>
      </c>
      <c r="B3" s="7">
        <f>Smooth!A2</f>
        <v>0.50386872854873366</v>
      </c>
      <c r="C3" s="7">
        <f>Smooth!B2</f>
        <v>0.10236787333521856</v>
      </c>
      <c r="D3" s="7">
        <f>Smooth!C2</f>
        <v>0.46959391551702812</v>
      </c>
      <c r="E3" s="7">
        <f>Smooth!D2</f>
        <v>4.7195047157537147</v>
      </c>
      <c r="F3" s="7">
        <f>Smooth!E2</f>
        <v>0.21045548965821825</v>
      </c>
      <c r="G3" s="7">
        <f>Smooth!F2</f>
        <v>1.0704117775114113</v>
      </c>
      <c r="H3" s="7">
        <f>Smooth!G2</f>
        <v>1.2580429398829214</v>
      </c>
      <c r="I3" s="7">
        <f>Smooth!H2</f>
        <v>4.9098391806155731E-2</v>
      </c>
      <c r="J3" s="7">
        <f>Smooth!I2</f>
        <v>1.0115281109807281</v>
      </c>
      <c r="K3" s="7">
        <f>Smooth!J2</f>
        <v>0.72370342870436566</v>
      </c>
      <c r="L3" s="7">
        <f>Smooth!K2</f>
        <v>0.38928749086162001</v>
      </c>
      <c r="M3" s="7">
        <f>Smooth!L2</f>
        <v>0.12470472324227952</v>
      </c>
      <c r="N3" s="7">
        <f>Smooth!M2</f>
        <v>0.14895176657295081</v>
      </c>
      <c r="O3" s="7">
        <f>Smooth!N2</f>
        <v>0.14840262105663246</v>
      </c>
      <c r="P3" s="7">
        <f>Smooth!O2</f>
        <v>0.16618430166156736</v>
      </c>
      <c r="Q3" s="7">
        <f>Smooth!P2</f>
        <v>0.3560875593044836</v>
      </c>
      <c r="R3" s="7">
        <f>Smooth!Q2</f>
        <v>0.35185400106994907</v>
      </c>
      <c r="S3" s="7">
        <f>Smooth!R2</f>
        <v>4.2335582345346895E-3</v>
      </c>
      <c r="T3" s="7">
        <f>Smooth!S2</f>
        <v>0.1129857036843348</v>
      </c>
      <c r="U3" s="7">
        <f>Smooth!T2</f>
        <v>3.3199931557138233E-2</v>
      </c>
      <c r="V3" s="7">
        <f>Smooth!U2</f>
        <v>-4.1454800077324105E-2</v>
      </c>
      <c r="W3" s="9">
        <f>Smooth!V2</f>
        <v>0.67330660000002318</v>
      </c>
      <c r="X3" s="9">
        <f>Smooth!W2</f>
        <v>0.33204700000000026</v>
      </c>
      <c r="Y3" s="9">
        <f>Smooth!X2</f>
        <v>0.36334260000000046</v>
      </c>
      <c r="Z3" s="9">
        <f>Smooth!Y2</f>
        <v>3.1295600000000992E-2</v>
      </c>
      <c r="AA3" s="9">
        <f>Smooth!Z2</f>
        <v>1.3852706999999936E-2</v>
      </c>
    </row>
    <row r="4" spans="1:54" dyDescent="0.5">
      <c r="A4" s="3">
        <v>2002</v>
      </c>
      <c r="B4" s="7">
        <f>Smooth!A3</f>
        <v>0.46862452127956339</v>
      </c>
      <c r="C4" s="7">
        <f>Smooth!B3</f>
        <v>0.10230525430727913</v>
      </c>
      <c r="D4" s="7">
        <f>Smooth!C3</f>
        <v>0.46913479336523634</v>
      </c>
      <c r="E4" s="7">
        <f>Smooth!D3</f>
        <v>4.7527826190739919</v>
      </c>
      <c r="F4" s="7">
        <f>Smooth!E3</f>
        <v>0.21011961304106258</v>
      </c>
      <c r="G4" s="7">
        <f>Smooth!F3</f>
        <v>1.0777327691513143</v>
      </c>
      <c r="H4" s="7">
        <f>Smooth!G3</f>
        <v>1.2677716974675008</v>
      </c>
      <c r="I4" s="7">
        <f>Smooth!H3</f>
        <v>4.8895276934297828E-2</v>
      </c>
      <c r="J4" s="7">
        <f>Smooth!I3</f>
        <v>1.0156070088336087</v>
      </c>
      <c r="K4" s="7">
        <f>Smooth!J3</f>
        <v>0.82321433225818375</v>
      </c>
      <c r="L4" s="7">
        <f>Smooth!K3</f>
        <v>0.43463024361341962</v>
      </c>
      <c r="M4" s="7">
        <f>Smooth!L3</f>
        <v>0.21706208930731224</v>
      </c>
      <c r="N4" s="7">
        <f>Smooth!M3</f>
        <v>0.15190525725973281</v>
      </c>
      <c r="O4" s="7">
        <f>Smooth!N3</f>
        <v>0.15201340695869309</v>
      </c>
      <c r="P4" s="7">
        <f>Smooth!O3</f>
        <v>0.16883053383124405</v>
      </c>
      <c r="Q4" s="7">
        <f>Smooth!P3</f>
        <v>0.39898863483068842</v>
      </c>
      <c r="R4" s="7">
        <f>Smooth!Q3</f>
        <v>0.39475495331505106</v>
      </c>
      <c r="S4" s="7">
        <f>Smooth!R3</f>
        <v>4.2336815156373761E-3</v>
      </c>
      <c r="T4" s="7">
        <f>Smooth!S3</f>
        <v>0.11298576616218442</v>
      </c>
      <c r="U4" s="7">
        <f>Smooth!T3</f>
        <v>3.5641608782731232E-2</v>
      </c>
      <c r="V4" s="7">
        <f>Smooth!U3</f>
        <v>-4.1454800077324105E-2</v>
      </c>
      <c r="W4" s="9">
        <f>Smooth!V3</f>
        <v>0.76095059999999926</v>
      </c>
      <c r="X4" s="9">
        <f>Smooth!W3</f>
        <v>0.36990429999999996</v>
      </c>
      <c r="Y4" s="9">
        <f>Smooth!X3</f>
        <v>0.40346260000000012</v>
      </c>
      <c r="Z4" s="9">
        <f>Smooth!Y3</f>
        <v>3.3558300000000083E-2</v>
      </c>
      <c r="AA4" s="9">
        <f>Smooth!Z3</f>
        <v>3.0517091000000298E-2</v>
      </c>
    </row>
    <row r="5" spans="1:54" dyDescent="0.5">
      <c r="A5" s="3">
        <v>2003</v>
      </c>
      <c r="B5" s="7">
        <f>Smooth!A4</f>
        <v>0.51672344188696817</v>
      </c>
      <c r="C5" s="7">
        <f>Smooth!B4</f>
        <v>0.10032624319555153</v>
      </c>
      <c r="D5" s="7">
        <f>Smooth!C4</f>
        <v>0.46598543957802618</v>
      </c>
      <c r="E5" s="7">
        <f>Smooth!D4</f>
        <v>4.778093119873235</v>
      </c>
      <c r="F5" s="7">
        <f>Smooth!E4</f>
        <v>0.20339914672912748</v>
      </c>
      <c r="G5" s="7">
        <f>Smooth!F4</f>
        <v>1.0648386858805681</v>
      </c>
      <c r="H5" s="7">
        <f>Smooth!G4</f>
        <v>1.260946320270893</v>
      </c>
      <c r="I5" s="7">
        <f>Smooth!H4</f>
        <v>4.7673095690670887E-2</v>
      </c>
      <c r="J5" s="7">
        <f>Smooth!I4</f>
        <v>1.0038806282801009</v>
      </c>
      <c r="K5" s="7">
        <f>Smooth!J4</f>
        <v>0.76283790828363973</v>
      </c>
      <c r="L5" s="7">
        <f>Smooth!K4</f>
        <v>0.3823664600564069</v>
      </c>
      <c r="M5" s="7">
        <f>Smooth!L4</f>
        <v>0.10438676365344707</v>
      </c>
      <c r="N5" s="7">
        <f>Smooth!M4</f>
        <v>0.14863876308432356</v>
      </c>
      <c r="O5" s="7">
        <f>Smooth!N4</f>
        <v>0.14758730636522491</v>
      </c>
      <c r="P5" s="7">
        <f>Smooth!O4</f>
        <v>0.16823738354032405</v>
      </c>
      <c r="Q5" s="7">
        <f>Smooth!P4</f>
        <v>0.34471609726447239</v>
      </c>
      <c r="R5" s="7">
        <f>Smooth!Q4</f>
        <v>0.34048255342973538</v>
      </c>
      <c r="S5" s="7">
        <f>Smooth!R4</f>
        <v>4.2335438347370098E-3</v>
      </c>
      <c r="T5" s="7">
        <f>Smooth!S4</f>
        <v>0.11298568861806392</v>
      </c>
      <c r="U5" s="7">
        <f>Smooth!T4</f>
        <v>3.7650362791934525E-2</v>
      </c>
      <c r="V5" s="7">
        <f>Smooth!U4</f>
        <v>-4.1454800077324105E-2</v>
      </c>
      <c r="W5" s="9">
        <f>Smooth!V4</f>
        <v>0.71513640000000001</v>
      </c>
      <c r="X5" s="9">
        <f>Smooth!W4</f>
        <v>0.32334069999999998</v>
      </c>
      <c r="Y5" s="9">
        <f>Smooth!X4</f>
        <v>0.3588749</v>
      </c>
      <c r="Z5" s="9">
        <f>Smooth!Y4</f>
        <v>3.5534200000000044E-2</v>
      </c>
      <c r="AA5" s="9">
        <f>Smooth!Z4</f>
        <v>1.1417285999999967E-2</v>
      </c>
    </row>
    <row r="6" spans="1:54" dyDescent="0.5">
      <c r="A6" s="3">
        <v>2004</v>
      </c>
      <c r="B6" s="7">
        <f>Smooth!A5</f>
        <v>0.50999463024658376</v>
      </c>
      <c r="C6" s="7">
        <f>Smooth!B5</f>
        <v>0.10324631837349602</v>
      </c>
      <c r="D6" s="7">
        <f>Smooth!C5</f>
        <v>0.46917535964415769</v>
      </c>
      <c r="E6" s="7">
        <f>Smooth!D5</f>
        <v>4.8276519792461645</v>
      </c>
      <c r="F6" s="7">
        <f>Smooth!E5</f>
        <v>0.22859589978588229</v>
      </c>
      <c r="G6" s="7">
        <f>Smooth!F5</f>
        <v>1.1008451733232643</v>
      </c>
      <c r="H6" s="7">
        <f>Smooth!G5</f>
        <v>1.2946043733420165</v>
      </c>
      <c r="I6" s="7">
        <f>Smooth!H5</f>
        <v>4.9265802679799763E-2</v>
      </c>
      <c r="J6" s="7">
        <f>Smooth!I5</f>
        <v>1.0317378411696521</v>
      </c>
      <c r="K6" s="7">
        <f>Smooth!J5</f>
        <v>0.75910944820512927</v>
      </c>
      <c r="L6" s="7">
        <f>Smooth!K5</f>
        <v>0.40540285136985565</v>
      </c>
      <c r="M6" s="7">
        <f>Smooth!L5</f>
        <v>0.14474214791735815</v>
      </c>
      <c r="N6" s="7">
        <f>Smooth!M5</f>
        <v>0.14920073514581672</v>
      </c>
      <c r="O6" s="7">
        <f>Smooth!N5</f>
        <v>0.14916718056923778</v>
      </c>
      <c r="P6" s="7">
        <f>Smooth!O5</f>
        <v>0.16671637735326644</v>
      </c>
      <c r="Q6" s="7">
        <f>Smooth!P5</f>
        <v>0.36225464329079804</v>
      </c>
      <c r="R6" s="7">
        <f>Smooth!Q5</f>
        <v>0.35802102568271432</v>
      </c>
      <c r="S6" s="7">
        <f>Smooth!R5</f>
        <v>4.2336176080837321E-3</v>
      </c>
      <c r="T6" s="7">
        <f>Smooth!S5</f>
        <v>0.11298568775289902</v>
      </c>
      <c r="U6" s="7">
        <f>Smooth!T5</f>
        <v>4.3148208079057553E-2</v>
      </c>
      <c r="V6" s="7">
        <f>Smooth!U5</f>
        <v>-4.1454800077324105E-2</v>
      </c>
      <c r="W6" s="9">
        <f>Smooth!V5</f>
        <v>0.68025060000000004</v>
      </c>
      <c r="X6" s="9">
        <f>Smooth!W5</f>
        <v>0.32674589999999998</v>
      </c>
      <c r="Y6" s="9">
        <f>Smooth!X5</f>
        <v>0.3672569</v>
      </c>
      <c r="Z6" s="9">
        <f>Smooth!Y5</f>
        <v>4.0511000000000026E-2</v>
      </c>
      <c r="AA6" s="9">
        <f>Smooth!Z5</f>
        <v>5.762000199999999E-2</v>
      </c>
    </row>
    <row r="7" spans="1:54" dyDescent="0.5">
      <c r="A7" s="3">
        <v>2005</v>
      </c>
      <c r="B7" s="7">
        <f>Smooth!A6</f>
        <v>0.49508696089818982</v>
      </c>
      <c r="C7" s="7">
        <f>Smooth!B6</f>
        <v>0.10301609410749465</v>
      </c>
      <c r="D7" s="7">
        <f>Smooth!C6</f>
        <v>0.46838487956861979</v>
      </c>
      <c r="E7" s="7">
        <f>Smooth!D6</f>
        <v>4.8749107060459593</v>
      </c>
      <c r="F7" s="7">
        <f>Smooth!E6</f>
        <v>0.22815275728928261</v>
      </c>
      <c r="G7" s="7">
        <f>Smooth!F6</f>
        <v>1.10977105085338</v>
      </c>
      <c r="H7" s="7">
        <f>Smooth!G6</f>
        <v>1.3070667732151215</v>
      </c>
      <c r="I7" s="7">
        <f>Smooth!H6</f>
        <v>4.8966678220472501E-2</v>
      </c>
      <c r="J7" s="7">
        <f>Smooth!I6</f>
        <v>1.0363055078988688</v>
      </c>
      <c r="K7" s="7">
        <f>Smooth!J6</f>
        <v>0.7561558831286439</v>
      </c>
      <c r="L7" s="7">
        <f>Smooth!K6</f>
        <v>0.42776467096259108</v>
      </c>
      <c r="M7" s="7">
        <f>Smooth!L6</f>
        <v>0.1921663241035966</v>
      </c>
      <c r="N7" s="7">
        <f>Smooth!M6</f>
        <v>0.15105017159667536</v>
      </c>
      <c r="O7" s="7">
        <f>Smooth!N6</f>
        <v>0.1509414993441322</v>
      </c>
      <c r="P7" s="7">
        <f>Smooth!O6</f>
        <v>0.16570577004980735</v>
      </c>
      <c r="Q7" s="7">
        <f>Smooth!P6</f>
        <v>0.38653133266590756</v>
      </c>
      <c r="R7" s="7">
        <f>Smooth!Q6</f>
        <v>0.3822976570461647</v>
      </c>
      <c r="S7" s="7">
        <f>Smooth!R6</f>
        <v>4.233675619742844E-3</v>
      </c>
      <c r="T7" s="7">
        <f>Smooth!S6</f>
        <v>0.11298574493181131</v>
      </c>
      <c r="U7" s="7">
        <f>Smooth!T6</f>
        <v>4.1233338296683561E-2</v>
      </c>
      <c r="V7" s="7">
        <f>Smooth!U6</f>
        <v>-4.1454800077324105E-2</v>
      </c>
      <c r="W7" s="9">
        <f>Smooth!V6</f>
        <v>0.66968519999999998</v>
      </c>
      <c r="X7" s="9">
        <f>Smooth!W6</f>
        <v>0.34641949999999999</v>
      </c>
      <c r="Y7" s="9">
        <f>Smooth!X6</f>
        <v>0.3850673</v>
      </c>
      <c r="Z7" s="9">
        <f>Smooth!Y6</f>
        <v>3.864780000000001E-2</v>
      </c>
      <c r="AA7" s="9">
        <f>Smooth!Z6</f>
        <v>3.2033435000000027E-2</v>
      </c>
    </row>
    <row r="8" spans="1:54" dyDescent="0.5">
      <c r="A8" s="3">
        <v>2006</v>
      </c>
      <c r="B8" s="7">
        <f>Smooth!A7</f>
        <v>0.50132001755635136</v>
      </c>
      <c r="C8" s="7">
        <f>Smooth!B7</f>
        <v>0.10361639380988709</v>
      </c>
      <c r="D8" s="7">
        <f>Smooth!C7</f>
        <v>0.47092765781043983</v>
      </c>
      <c r="E8" s="7">
        <f>Smooth!D7</f>
        <v>4.908225854370559</v>
      </c>
      <c r="F8" s="7">
        <f>Smooth!E7</f>
        <v>0.21597998201269558</v>
      </c>
      <c r="G8" s="7">
        <f>Smooth!F7</f>
        <v>1.126770197319138</v>
      </c>
      <c r="H8" s="7">
        <f>Smooth!G7</f>
        <v>1.3202567003751853</v>
      </c>
      <c r="I8" s="7">
        <f>Smooth!H7</f>
        <v>4.9383947535302862E-2</v>
      </c>
      <c r="J8" s="7">
        <f>Smooth!I7</f>
        <v>1.0448381331843095</v>
      </c>
      <c r="K8" s="7">
        <f>Smooth!J7</f>
        <v>0.7467466883551277</v>
      </c>
      <c r="L8" s="7">
        <f>Smooth!K7</f>
        <v>0.42585407860249896</v>
      </c>
      <c r="M8" s="7">
        <f>Smooth!L7</f>
        <v>0.18390285103626763</v>
      </c>
      <c r="N8" s="7">
        <f>Smooth!M7</f>
        <v>0.15092362818554303</v>
      </c>
      <c r="O8" s="7">
        <f>Smooth!N7</f>
        <v>0.15054341952650568</v>
      </c>
      <c r="P8" s="7">
        <f>Smooth!O7</f>
        <v>0.16442343546203331</v>
      </c>
      <c r="Q8" s="7">
        <f>Smooth!P7</f>
        <v>0.40947019775009091</v>
      </c>
      <c r="R8" s="7">
        <f>Smooth!Q7</f>
        <v>0.4052364622208337</v>
      </c>
      <c r="S8" s="7">
        <f>Smooth!R7</f>
        <v>4.2337355292571942E-3</v>
      </c>
      <c r="T8" s="7">
        <f>Smooth!S7</f>
        <v>0.11298585987772147</v>
      </c>
      <c r="U8" s="7">
        <f>Smooth!T7</f>
        <v>1.6383880852408075E-2</v>
      </c>
      <c r="V8" s="7">
        <f>Smooth!U7</f>
        <v>-4.1454800077324105E-2</v>
      </c>
      <c r="W8" s="9">
        <f>Smooth!V7</f>
        <v>0.64598820000000001</v>
      </c>
      <c r="X8" s="9">
        <f>Smooth!W7</f>
        <v>0.36187710000000001</v>
      </c>
      <c r="Y8" s="9">
        <f>Smooth!X7</f>
        <v>0.37694359999999999</v>
      </c>
      <c r="Z8" s="9">
        <f>Smooth!Y7</f>
        <v>1.5066499999999972E-2</v>
      </c>
      <c r="AA8" s="9">
        <f>Smooth!Z7</f>
        <v>3.966130000000001E-2</v>
      </c>
    </row>
    <row r="9" spans="1:54" dyDescent="0.5">
      <c r="A9" s="3">
        <v>2007</v>
      </c>
      <c r="B9" s="7">
        <f>Smooth!A8</f>
        <v>0.50608909524942269</v>
      </c>
      <c r="C9" s="7">
        <f>Smooth!B8</f>
        <v>0.10667379172862741</v>
      </c>
      <c r="D9" s="7">
        <f>Smooth!C8</f>
        <v>0.47340093636070779</v>
      </c>
      <c r="E9" s="7">
        <f>Smooth!D8</f>
        <v>4.9741566092106035</v>
      </c>
      <c r="F9" s="7">
        <f>Smooth!E8</f>
        <v>0.24984392032229263</v>
      </c>
      <c r="G9" s="7">
        <f>Smooth!F8</f>
        <v>1.1660250031676438</v>
      </c>
      <c r="H9" s="7">
        <f>Smooth!G8</f>
        <v>1.3595674260205952</v>
      </c>
      <c r="I9" s="7">
        <f>Smooth!H8</f>
        <v>5.0983596623178064E-2</v>
      </c>
      <c r="J9" s="7">
        <f>Smooth!I8</f>
        <v>1.0758264293491084</v>
      </c>
      <c r="K9" s="7">
        <f>Smooth!J8</f>
        <v>0.76627491522470192</v>
      </c>
      <c r="L9" s="7">
        <f>Smooth!K8</f>
        <v>0.44126728425595468</v>
      </c>
      <c r="M9" s="7">
        <f>Smooth!L8</f>
        <v>0.20376224175209418</v>
      </c>
      <c r="N9" s="7">
        <f>Smooth!M8</f>
        <v>0.15095559817568091</v>
      </c>
      <c r="O9" s="7">
        <f>Smooth!N8</f>
        <v>0.15139277753620209</v>
      </c>
      <c r="P9" s="7">
        <f>Smooth!O8</f>
        <v>0.16332108706627743</v>
      </c>
      <c r="Q9" s="7">
        <f>Smooth!P8</f>
        <v>0.41009198759592835</v>
      </c>
      <c r="R9" s="7">
        <f>Smooth!Q8</f>
        <v>0.40585824901005424</v>
      </c>
      <c r="S9" s="7">
        <f>Smooth!R8</f>
        <v>4.2337385858740974E-3</v>
      </c>
      <c r="T9" s="7">
        <f>Smooth!S8</f>
        <v>0.11298597357317978</v>
      </c>
      <c r="U9" s="7">
        <f>Smooth!T8</f>
        <v>3.1175296660026379E-2</v>
      </c>
      <c r="V9" s="7">
        <f>Smooth!U8</f>
        <v>-4.1454800077324105E-2</v>
      </c>
      <c r="W9" s="9">
        <f>Smooth!V8</f>
        <v>0.63024659999999999</v>
      </c>
      <c r="X9" s="9">
        <f>Smooth!W8</f>
        <v>0.34811110000000001</v>
      </c>
      <c r="Y9" s="9">
        <f>Smooth!X8</f>
        <v>0.37691560000000002</v>
      </c>
      <c r="Z9" s="9">
        <f>Smooth!Y8</f>
        <v>2.8804500000000021E-2</v>
      </c>
      <c r="AA9" s="9">
        <f>Smooth!Z8</f>
        <v>6.0689110000000032E-2</v>
      </c>
    </row>
    <row r="10" spans="1:54" dyDescent="0.5">
      <c r="A10" s="3">
        <v>2008</v>
      </c>
      <c r="B10" s="7">
        <f>Smooth!A9</f>
        <v>0.51322998883479543</v>
      </c>
      <c r="C10" s="7">
        <f>Smooth!B9</f>
        <v>0.10801433786610416</v>
      </c>
      <c r="D10" s="7">
        <f>Smooth!C9</f>
        <v>0.47425665595597027</v>
      </c>
      <c r="E10" s="7">
        <f>Smooth!D9</f>
        <v>5.0535173264724165</v>
      </c>
      <c r="F10" s="7">
        <f>Smooth!E9</f>
        <v>0.26574433422388999</v>
      </c>
      <c r="G10" s="7">
        <f>Smooth!F9</f>
        <v>1.1949486445096409</v>
      </c>
      <c r="H10" s="7">
        <f>Smooth!G9</f>
        <v>1.3910500732001772</v>
      </c>
      <c r="I10" s="7">
        <f>Smooth!H9</f>
        <v>5.15491260272102E-2</v>
      </c>
      <c r="J10" s="7">
        <f>Smooth!I9</f>
        <v>1.0957884274427601</v>
      </c>
      <c r="K10" s="7">
        <f>Smooth!J9</f>
        <v>0.77595687878334085</v>
      </c>
      <c r="L10" s="7">
        <f>Smooth!K9</f>
        <v>0.45085769199804659</v>
      </c>
      <c r="M10" s="7">
        <f>Smooth!L9</f>
        <v>0.21401246159541987</v>
      </c>
      <c r="N10" s="7">
        <f>Smooth!M9</f>
        <v>0.15099046528511906</v>
      </c>
      <c r="O10" s="7">
        <f>Smooth!N9</f>
        <v>0.15191041952490536</v>
      </c>
      <c r="P10" s="7">
        <f>Smooth!O9</f>
        <v>0.16228139061917859</v>
      </c>
      <c r="Q10" s="7">
        <f>Smooth!P9</f>
        <v>0.41597432145095542</v>
      </c>
      <c r="R10" s="7">
        <f>Smooth!Q9</f>
        <v>0.41174059865317553</v>
      </c>
      <c r="S10" s="7">
        <f>Smooth!R9</f>
        <v>4.2337227977798748E-3</v>
      </c>
      <c r="T10" s="7">
        <f>Smooth!S9</f>
        <v>0.11298606722033006</v>
      </c>
      <c r="U10" s="7">
        <f>Smooth!T9</f>
        <v>3.4883370547091216E-2</v>
      </c>
      <c r="V10" s="7">
        <f>Smooth!U9</f>
        <v>-4.1454800077324105E-2</v>
      </c>
      <c r="W10" s="9">
        <f>Smooth!V9</f>
        <v>0.61420079999999999</v>
      </c>
      <c r="X10" s="9">
        <f>Smooth!W9</f>
        <v>0.34309299999999998</v>
      </c>
      <c r="Y10" s="9">
        <f>Smooth!X9</f>
        <v>0.37522610000000001</v>
      </c>
      <c r="Z10" s="9">
        <f>Smooth!Y9</f>
        <v>3.2133100000000053E-2</v>
      </c>
      <c r="AA10" s="9">
        <f>Smooth!Z9</f>
        <v>5.0927917999999989E-2</v>
      </c>
    </row>
    <row r="11" spans="1:54" dyDescent="0.5">
      <c r="A11" s="3">
        <v>2009</v>
      </c>
      <c r="B11" s="7">
        <f>Smooth!A10</f>
        <v>0.52834017886752183</v>
      </c>
      <c r="C11" s="7">
        <f>Smooth!B10</f>
        <v>0.10372699895561281</v>
      </c>
      <c r="D11" s="7">
        <f>Smooth!C10</f>
        <v>0.46988321016215934</v>
      </c>
      <c r="E11" s="7">
        <f>Smooth!D10</f>
        <v>5.0872031689826267</v>
      </c>
      <c r="F11" s="7">
        <f>Smooth!E10</f>
        <v>0.22304313695975783</v>
      </c>
      <c r="G11" s="7">
        <f>Smooth!F10</f>
        <v>1.1686732410028722</v>
      </c>
      <c r="H11" s="7">
        <f>Smooth!G10</f>
        <v>1.3718166854659997</v>
      </c>
      <c r="I11" s="7">
        <f>Smooth!H10</f>
        <v>4.898989575404647E-2</v>
      </c>
      <c r="J11" s="7">
        <f>Smooth!I10</f>
        <v>1.0683942906764452</v>
      </c>
      <c r="K11" s="7">
        <f>Smooth!J10</f>
        <v>0.78646481346794506</v>
      </c>
      <c r="L11" s="7">
        <f>Smooth!K10</f>
        <v>0.42764582501648885</v>
      </c>
      <c r="M11" s="7">
        <f>Smooth!L10</f>
        <v>0.16883177834941887</v>
      </c>
      <c r="N11" s="7">
        <f>Smooth!M10</f>
        <v>0.15081044717017045</v>
      </c>
      <c r="O11" s="7">
        <f>Smooth!N10</f>
        <v>0.14995364540292347</v>
      </c>
      <c r="P11" s="7">
        <f>Smooth!O10</f>
        <v>0.16305708300617694</v>
      </c>
      <c r="Q11" s="7">
        <f>Smooth!P10</f>
        <v>0.41728992517559221</v>
      </c>
      <c r="R11" s="7">
        <f>Smooth!Q10</f>
        <v>0.41305623295851179</v>
      </c>
      <c r="S11" s="7">
        <f>Smooth!R10</f>
        <v>4.2336922170803882E-3</v>
      </c>
      <c r="T11" s="7">
        <f>Smooth!S10</f>
        <v>0.11298612677778505</v>
      </c>
      <c r="U11" s="7">
        <f>Smooth!T10</f>
        <v>1.0355899840896698E-2</v>
      </c>
      <c r="V11" s="7">
        <f>Smooth!U10</f>
        <v>-4.1454800077324105E-2</v>
      </c>
      <c r="W11" s="9">
        <f>Smooth!V10</f>
        <v>0.64701589999999998</v>
      </c>
      <c r="X11" s="9">
        <f>Smooth!W10</f>
        <v>0.35394360000000002</v>
      </c>
      <c r="Y11" s="9">
        <f>Smooth!X10</f>
        <v>0.36306129999999998</v>
      </c>
      <c r="Z11" s="9">
        <f>Smooth!Y10</f>
        <v>9.117699999999989E-3</v>
      </c>
      <c r="AA11" s="9">
        <f>Smooth!Z10</f>
        <v>-1.2257840000000214E-3</v>
      </c>
    </row>
    <row r="12" spans="1:54" dyDescent="0.5">
      <c r="A12" s="3">
        <v>2010</v>
      </c>
      <c r="B12" s="7">
        <f>Smooth!A11</f>
        <v>0.53527979518109414</v>
      </c>
      <c r="C12" s="7">
        <f>Smooth!B11</f>
        <v>0.10827153072997019</v>
      </c>
      <c r="D12" s="7">
        <f>Smooth!C11</f>
        <v>0.47525232832449277</v>
      </c>
      <c r="E12" s="7">
        <f>Smooth!D11</f>
        <v>5.1569488920734852</v>
      </c>
      <c r="F12" s="7">
        <f>Smooth!E11</f>
        <v>0.26036523939241646</v>
      </c>
      <c r="G12" s="7">
        <f>Smooth!F11</f>
        <v>1.2234084774448328</v>
      </c>
      <c r="H12" s="7">
        <f>Smooth!G11</f>
        <v>1.4216275991413321</v>
      </c>
      <c r="I12" s="7">
        <f>Smooth!H11</f>
        <v>5.1530605613106718E-2</v>
      </c>
      <c r="J12" s="7">
        <f>Smooth!I11</f>
        <v>1.1105979631514231</v>
      </c>
      <c r="K12" s="7">
        <f>Smooth!J11</f>
        <v>0.81291677666558559</v>
      </c>
      <c r="L12" s="7">
        <f>Smooth!K11</f>
        <v>0.44553779961590911</v>
      </c>
      <c r="M12" s="7">
        <f>Smooth!L11</f>
        <v>0.18779634237874632</v>
      </c>
      <c r="N12" s="7">
        <f>Smooth!M11</f>
        <v>0.15017194942514908</v>
      </c>
      <c r="O12" s="7">
        <f>Smooth!N11</f>
        <v>0.15087118542963096</v>
      </c>
      <c r="P12" s="7">
        <f>Smooth!O11</f>
        <v>0.16254423962607412</v>
      </c>
      <c r="Q12" s="7">
        <f>Smooth!P11</f>
        <v>0.42776344287132206</v>
      </c>
      <c r="R12" s="7">
        <f>Smooth!Q11</f>
        <v>0.4235297125649925</v>
      </c>
      <c r="S12" s="7">
        <f>Smooth!R11</f>
        <v>4.2337303063295882E-3</v>
      </c>
      <c r="T12" s="7">
        <f>Smooth!S11</f>
        <v>0.11298622219284783</v>
      </c>
      <c r="U12" s="7">
        <f>Smooth!T11</f>
        <v>1.7774356744587064E-2</v>
      </c>
      <c r="V12" s="7">
        <f>Smooth!U11</f>
        <v>-4.1454800077324105E-2</v>
      </c>
      <c r="W12" s="9">
        <f>Smooth!V11</f>
        <v>0.624332</v>
      </c>
      <c r="X12" s="9">
        <f>Smooth!W11</f>
        <v>0.3438254</v>
      </c>
      <c r="Y12" s="9">
        <f>Smooth!X11</f>
        <v>0.35962129999999998</v>
      </c>
      <c r="Z12" s="9">
        <f>Smooth!Y11</f>
        <v>1.5795899999999995E-2</v>
      </c>
      <c r="AA12" s="9">
        <f>Smooth!Z11</f>
        <v>7.5315481999999989E-2</v>
      </c>
    </row>
    <row r="13" spans="1:54" dyDescent="0.5">
      <c r="A13" s="3">
        <v>2011</v>
      </c>
      <c r="B13" s="7">
        <f>Smooth!A12</f>
        <v>0.53628480109165522</v>
      </c>
      <c r="C13" s="7">
        <f>Smooth!B12</f>
        <v>0.10838325652054931</v>
      </c>
      <c r="D13" s="7">
        <f>Smooth!C12</f>
        <v>0.47356963969161681</v>
      </c>
      <c r="E13" s="7">
        <f>Smooth!D12</f>
        <v>5.238767850667938</v>
      </c>
      <c r="F13" s="7">
        <f>Smooth!E12</f>
        <v>0.27505187474619641</v>
      </c>
      <c r="G13" s="7">
        <f>Smooth!F12</f>
        <v>1.2404810953449927</v>
      </c>
      <c r="H13" s="7">
        <f>Smooth!G12</f>
        <v>1.445909259276335</v>
      </c>
      <c r="I13" s="7">
        <f>Smooth!H12</f>
        <v>5.1275390528181898E-2</v>
      </c>
      <c r="J13" s="7">
        <f>Smooth!I12</f>
        <v>1.1219529038018163</v>
      </c>
      <c r="K13" s="7">
        <f>Smooth!J12</f>
        <v>0.80961037046837581</v>
      </c>
      <c r="L13" s="7">
        <f>Smooth!K12</f>
        <v>0.45927977154231786</v>
      </c>
      <c r="M13" s="7">
        <f>Smooth!L12</f>
        <v>0.2109784991170312</v>
      </c>
      <c r="N13" s="7">
        <f>Smooth!M12</f>
        <v>0.1508640970579091</v>
      </c>
      <c r="O13" s="7">
        <f>Smooth!N12</f>
        <v>0.15186582414535635</v>
      </c>
      <c r="P13" s="7">
        <f>Smooth!O12</f>
        <v>0.16167484762366963</v>
      </c>
      <c r="Q13" s="7">
        <f>Smooth!P12</f>
        <v>0.42914441950714094</v>
      </c>
      <c r="R13" s="7">
        <f>Smooth!Q12</f>
        <v>0.424910728651402</v>
      </c>
      <c r="S13" s="7">
        <f>Smooth!R12</f>
        <v>4.2336908557389259E-3</v>
      </c>
      <c r="T13" s="7">
        <f>Smooth!S12</f>
        <v>0.11298627458207978</v>
      </c>
      <c r="U13" s="7">
        <f>Smooth!T12</f>
        <v>3.0135352035176956E-2</v>
      </c>
      <c r="V13" s="7">
        <f>Smooth!U12</f>
        <v>-4.1454800077324105E-2</v>
      </c>
      <c r="W13" s="9">
        <f>Smooth!V12</f>
        <v>0.60633709999999996</v>
      </c>
      <c r="X13" s="9">
        <f>Smooth!W12</f>
        <v>0.33888760000000001</v>
      </c>
      <c r="Y13" s="9">
        <f>Smooth!X12</f>
        <v>0.36625930000000001</v>
      </c>
      <c r="Z13" s="9">
        <f>Smooth!Y12</f>
        <v>2.7371700000000006E-2</v>
      </c>
      <c r="AA13" s="9">
        <f>Smooth!Z12</f>
        <v>3.9730718000000019E-2</v>
      </c>
    </row>
    <row r="14" spans="1:54" dyDescent="0.5">
      <c r="A14" s="3">
        <v>2012</v>
      </c>
      <c r="B14" s="7">
        <f>Smooth!A13</f>
        <v>0.53886065753272627</v>
      </c>
      <c r="C14" s="7">
        <f>Smooth!B13</f>
        <v>0.10613415148071785</v>
      </c>
      <c r="D14" s="7">
        <f>Smooth!C13</f>
        <v>0.47026916629451537</v>
      </c>
      <c r="E14" s="7">
        <f>Smooth!D13</f>
        <v>5.3031347916609191</v>
      </c>
      <c r="F14" s="7">
        <f>Smooth!E13</f>
        <v>0.26066564590792224</v>
      </c>
      <c r="G14" s="7">
        <f>Smooth!F13</f>
        <v>1.2358678686641915</v>
      </c>
      <c r="H14" s="7">
        <f>Smooth!G13</f>
        <v>1.4491291407169069</v>
      </c>
      <c r="I14" s="7">
        <f>Smooth!H13</f>
        <v>4.9725789171730476E-2</v>
      </c>
      <c r="J14" s="7">
        <f>Smooth!I13</f>
        <v>1.1135378378915735</v>
      </c>
      <c r="K14" s="7">
        <f>Smooth!J13</f>
        <v>0.81573549651689614</v>
      </c>
      <c r="L14" s="7">
        <f>Smooth!K13</f>
        <v>0.46098143455925195</v>
      </c>
      <c r="M14" s="7">
        <f>Smooth!L13</f>
        <v>0.21435826459616092</v>
      </c>
      <c r="N14" s="7">
        <f>Smooth!M13</f>
        <v>0.15133050985998669</v>
      </c>
      <c r="O14" s="7">
        <f>Smooth!N13</f>
        <v>0.15206775054850294</v>
      </c>
      <c r="P14" s="7">
        <f>Smooth!O13</f>
        <v>0.1616775576713739</v>
      </c>
      <c r="Q14" s="7">
        <f>Smooth!P13</f>
        <v>0.436341565223543</v>
      </c>
      <c r="R14" s="7">
        <f>Smooth!Q13</f>
        <v>0.43210790850846503</v>
      </c>
      <c r="S14" s="7">
        <f>Smooth!R13</f>
        <v>4.2336567150779896E-3</v>
      </c>
      <c r="T14" s="7">
        <f>Smooth!S13</f>
        <v>0.11298629086760555</v>
      </c>
      <c r="U14" s="7">
        <f>Smooth!T13</f>
        <v>2.4639869335709004E-2</v>
      </c>
      <c r="V14" s="7">
        <f>Smooth!U13</f>
        <v>-4.1454800077324105E-2</v>
      </c>
      <c r="W14" s="9">
        <f>Smooth!V13</f>
        <v>0.61614259999999987</v>
      </c>
      <c r="X14" s="9">
        <f>Smooth!W13</f>
        <v>0.34737449999999997</v>
      </c>
      <c r="Y14" s="9">
        <f>Smooth!X13</f>
        <v>0.36958180000000002</v>
      </c>
      <c r="Z14" s="9">
        <f>Smooth!Y13</f>
        <v>2.2207300000000044E-2</v>
      </c>
      <c r="AA14" s="9">
        <f>Smooth!Z13</f>
        <v>1.9241285999999986E-2</v>
      </c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8"/>
      <c r="AX14" s="8"/>
      <c r="AY14" s="8"/>
      <c r="AZ14" s="8"/>
      <c r="BA14" s="8"/>
      <c r="BB14" s="8"/>
    </row>
    <row r="15" spans="1:54" dyDescent="0.5">
      <c r="A15" s="3">
        <v>2013</v>
      </c>
      <c r="B15" s="7">
        <f>Smooth!A14</f>
        <v>0.54817932605194342</v>
      </c>
      <c r="C15" s="7">
        <f>Smooth!B14</f>
        <v>0.10537903588729085</v>
      </c>
      <c r="D15" s="7">
        <f>Smooth!C14</f>
        <v>0.46942830908467875</v>
      </c>
      <c r="E15" s="7">
        <f>Smooth!D14</f>
        <v>5.3589161920493646</v>
      </c>
      <c r="F15" s="7">
        <f>Smooth!E14</f>
        <v>0.25449196005939623</v>
      </c>
      <c r="G15" s="7">
        <f>Smooth!F14</f>
        <v>1.242738908361307</v>
      </c>
      <c r="H15" s="7">
        <f>Smooth!G14</f>
        <v>1.4593277707508459</v>
      </c>
      <c r="I15" s="7">
        <f>Smooth!H14</f>
        <v>4.9128675550583235E-2</v>
      </c>
      <c r="J15" s="7">
        <f>Smooth!I14</f>
        <v>1.1147924597009129</v>
      </c>
      <c r="K15" s="7">
        <f>Smooth!J14</f>
        <v>0.8006948411017013</v>
      </c>
      <c r="L15" s="7">
        <f>Smooth!K14</f>
        <v>0.45733235216455892</v>
      </c>
      <c r="M15" s="7">
        <f>Smooth!L14</f>
        <v>0.20396341888206226</v>
      </c>
      <c r="N15" s="7">
        <f>Smooth!M14</f>
        <v>0.1506440923339657</v>
      </c>
      <c r="O15" s="7">
        <f>Smooth!N14</f>
        <v>0.151831356273576</v>
      </c>
      <c r="P15" s="7">
        <f>Smooth!O14</f>
        <v>0.16093892690604025</v>
      </c>
      <c r="Q15" s="7">
        <f>Smooth!P14</f>
        <v>0.44006762224996726</v>
      </c>
      <c r="R15" s="7">
        <f>Smooth!Q14</f>
        <v>0.4358340045368751</v>
      </c>
      <c r="S15" s="7">
        <f>Smooth!R14</f>
        <v>4.2336177130921525E-3</v>
      </c>
      <c r="T15" s="7">
        <f>Smooth!S14</f>
        <v>0.11298626754092037</v>
      </c>
      <c r="U15" s="7">
        <f>Smooth!T14</f>
        <v>1.7264729914591735E-2</v>
      </c>
      <c r="V15" s="7">
        <f>Smooth!U14</f>
        <v>-4.1454800077324105E-2</v>
      </c>
      <c r="W15" s="9">
        <f>Smooth!V14</f>
        <v>0.5959468</v>
      </c>
      <c r="X15" s="9">
        <f>Smooth!W14</f>
        <v>0.34838259999999999</v>
      </c>
      <c r="Y15" s="9">
        <f>Smooth!X14</f>
        <v>0.36358010000000002</v>
      </c>
      <c r="Z15" s="9">
        <f>Smooth!Y14</f>
        <v>1.5197500000000065E-2</v>
      </c>
      <c r="AA15" s="9">
        <f>Smooth!Z14</f>
        <v>3.0091963000000006E-2</v>
      </c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8"/>
      <c r="AX15" s="8"/>
      <c r="AY15" s="8"/>
      <c r="AZ15" s="8"/>
      <c r="BA15" s="8"/>
      <c r="BB15" s="8"/>
    </row>
    <row r="16" spans="1:54" dyDescent="0.5">
      <c r="A16" s="3">
        <v>2014</v>
      </c>
      <c r="B16" s="7">
        <f>Smooth!A15</f>
        <v>0.56023687649640252</v>
      </c>
      <c r="C16" s="7">
        <f>Smooth!B15</f>
        <v>0.10224883829361724</v>
      </c>
      <c r="D16" s="7">
        <f>Smooth!C15</f>
        <v>0.4672030228701034</v>
      </c>
      <c r="E16" s="7">
        <f>Smooth!D15</f>
        <v>5.3756469432638792</v>
      </c>
      <c r="F16" s="7">
        <f>Smooth!E15</f>
        <v>0.2175314620367888</v>
      </c>
      <c r="G16" s="7">
        <f>Smooth!F15</f>
        <v>1.2230622383622323</v>
      </c>
      <c r="H16" s="7">
        <f>Smooth!G15</f>
        <v>1.4421901200995868</v>
      </c>
      <c r="I16" s="7">
        <f>Smooth!H15</f>
        <v>4.7303412330229271E-2</v>
      </c>
      <c r="J16" s="7">
        <f>Smooth!I15</f>
        <v>1.0934069665433137</v>
      </c>
      <c r="K16" s="7">
        <f>Smooth!J15</f>
        <v>0.80396057346138816</v>
      </c>
      <c r="L16" s="7">
        <f>Smooth!K15</f>
        <v>0.4368219485965153</v>
      </c>
      <c r="M16" s="7">
        <f>Smooth!L15</f>
        <v>0.16483330646405983</v>
      </c>
      <c r="N16" s="7">
        <f>Smooth!M15</f>
        <v>0.14947596399707713</v>
      </c>
      <c r="O16" s="7">
        <f>Smooth!N15</f>
        <v>0.15039579660552388</v>
      </c>
      <c r="P16" s="7">
        <f>Smooth!O15</f>
        <v>0.16137688874083106</v>
      </c>
      <c r="Q16" s="7">
        <f>Smooth!P15</f>
        <v>0.44529389982904088</v>
      </c>
      <c r="R16" s="7">
        <f>Smooth!Q15</f>
        <v>0.44106033386719212</v>
      </c>
      <c r="S16" s="7">
        <f>Smooth!R15</f>
        <v>4.233565961848788E-3</v>
      </c>
      <c r="T16" s="7">
        <f>Smooth!S15</f>
        <v>0.11298619333705195</v>
      </c>
      <c r="U16" s="7">
        <f>Smooth!T15</f>
        <v>-8.471951232525584E-3</v>
      </c>
      <c r="V16" s="7">
        <f>Smooth!U15</f>
        <v>-4.1454800077324105E-2</v>
      </c>
      <c r="W16" s="9">
        <f>Smooth!V15</f>
        <v>0.61617149999999987</v>
      </c>
      <c r="X16" s="9">
        <f>Smooth!W15</f>
        <v>0.36051529999999998</v>
      </c>
      <c r="Y16" s="9">
        <f>Smooth!X15</f>
        <v>0.35151500000000002</v>
      </c>
      <c r="Z16" s="9">
        <f>Smooth!Y15</f>
        <v>-9.0002999999999195E-3</v>
      </c>
      <c r="AA16" s="9">
        <f>Smooth!Z15</f>
        <v>5.008895999999978E-3</v>
      </c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8"/>
      <c r="AX16" s="8"/>
      <c r="AY16" s="8"/>
      <c r="AZ16" s="8"/>
      <c r="BA16" s="8"/>
      <c r="BB16" s="8"/>
    </row>
    <row r="17" spans="1:54" dyDescent="0.5">
      <c r="A17" s="3">
        <v>2015</v>
      </c>
      <c r="B17" s="7">
        <f>Smooth!A16</f>
        <v>0.54712257142160281</v>
      </c>
      <c r="C17" s="7">
        <f>Smooth!B16</f>
        <v>9.5838876149636681E-2</v>
      </c>
      <c r="D17" s="7">
        <f>Smooth!C16</f>
        <v>0.45859586549305836</v>
      </c>
      <c r="E17" s="7">
        <f>Smooth!D16</f>
        <v>5.3484210059661574</v>
      </c>
      <c r="F17" s="7">
        <f>Smooth!E16</f>
        <v>0.17420168139473918</v>
      </c>
      <c r="G17" s="7">
        <f>Smooth!F16</f>
        <v>1.1605198295899999</v>
      </c>
      <c r="H17" s="7">
        <f>Smooth!G16</f>
        <v>1.391713806532173</v>
      </c>
      <c r="I17" s="7">
        <f>Smooth!H16</f>
        <v>4.34331200359801E-2</v>
      </c>
      <c r="J17" s="7">
        <f>Smooth!I16</f>
        <v>1.0427310281748157</v>
      </c>
      <c r="K17" s="7">
        <f>Smooth!J16</f>
        <v>0.85333290407847995</v>
      </c>
      <c r="L17" s="7">
        <f>Smooth!K16</f>
        <v>0.4308239733948061</v>
      </c>
      <c r="M17" s="7">
        <f>Smooth!L16</f>
        <v>0.16703840363820074</v>
      </c>
      <c r="N17" s="7">
        <f>Smooth!M16</f>
        <v>0.15044833369280111</v>
      </c>
      <c r="O17" s="7">
        <f>Smooth!N16</f>
        <v>0.15041424293293662</v>
      </c>
      <c r="P17" s="7">
        <f>Smooth!O16</f>
        <v>0.16526052126728538</v>
      </c>
      <c r="Q17" s="7">
        <f>Smooth!P16</f>
        <v>0.43919557677365767</v>
      </c>
      <c r="R17" s="7">
        <f>Smooth!Q16</f>
        <v>0.43496207301260698</v>
      </c>
      <c r="S17" s="7">
        <f>Smooth!R16</f>
        <v>4.2335037610507211E-3</v>
      </c>
      <c r="T17" s="7">
        <f>Smooth!S16</f>
        <v>0.11298605971283381</v>
      </c>
      <c r="U17" s="7">
        <f>Smooth!T16</f>
        <v>-8.3716033788514659E-3</v>
      </c>
      <c r="V17" s="7">
        <f>Smooth!U16</f>
        <v>-4.1454800077324105E-2</v>
      </c>
      <c r="W17" s="9">
        <f>Smooth!V16</f>
        <v>0.71729679999999996</v>
      </c>
      <c r="X17" s="9">
        <f>Smooth!W16</f>
        <v>0.37762200000000001</v>
      </c>
      <c r="Y17" s="9">
        <f>Smooth!X16</f>
        <v>0.3690947</v>
      </c>
      <c r="Z17" s="9">
        <f>Smooth!Y16</f>
        <v>-8.527300000000005E-3</v>
      </c>
      <c r="AA17" s="9">
        <f>Smooth!Z16</f>
        <v>-3.5491931000000004E-2</v>
      </c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8"/>
      <c r="AX17" s="8"/>
      <c r="AY17" s="8"/>
      <c r="AZ17" s="8"/>
      <c r="BA17" s="8"/>
      <c r="BB17" s="8"/>
    </row>
    <row r="18" spans="1:54" dyDescent="0.5">
      <c r="A18" s="3">
        <v>2016</v>
      </c>
      <c r="B18" s="7">
        <f>Smooth!A17</f>
        <v>0.53915771712502469</v>
      </c>
      <c r="C18" s="7">
        <f>Smooth!B17</f>
        <v>9.0680508337535354E-2</v>
      </c>
      <c r="D18" s="7">
        <f>Smooth!C17</f>
        <v>0.45326349393489612</v>
      </c>
      <c r="E18" s="7">
        <f>Smooth!D17</f>
        <v>5.2750321657728616</v>
      </c>
      <c r="F18" s="7">
        <f>Smooth!E17</f>
        <v>0.12701861185235339</v>
      </c>
      <c r="G18" s="7">
        <f>Smooth!F17</f>
        <v>1.1009038865439276</v>
      </c>
      <c r="H18" s="7">
        <f>Smooth!G17</f>
        <v>1.3361185395000172</v>
      </c>
      <c r="I18" s="7">
        <f>Smooth!H17</f>
        <v>4.0558219352104324E-2</v>
      </c>
      <c r="J18" s="7">
        <f>Smooth!I17</f>
        <v>0.99524914202474235</v>
      </c>
      <c r="K18" s="7">
        <f>Smooth!J17</f>
        <v>0.85862201903045876</v>
      </c>
      <c r="L18" s="7">
        <f>Smooth!K17</f>
        <v>0.41375146987016775</v>
      </c>
      <c r="M18" s="7">
        <f>Smooth!L17</f>
        <v>0.14586165147504732</v>
      </c>
      <c r="N18" s="7">
        <f>Smooth!M17</f>
        <v>0.150494644688282</v>
      </c>
      <c r="O18" s="7">
        <f>Smooth!N17</f>
        <v>0.14939107642460511</v>
      </c>
      <c r="P18" s="7">
        <f>Smooth!O17</f>
        <v>0.16893789169779927</v>
      </c>
      <c r="Q18" s="7">
        <f>Smooth!P17</f>
        <v>0.43472755756654929</v>
      </c>
      <c r="R18" s="7">
        <f>Smooth!Q17</f>
        <v>0.43049406124381295</v>
      </c>
      <c r="S18" s="7">
        <f>Smooth!R17</f>
        <v>4.2334963227363765E-3</v>
      </c>
      <c r="T18" s="7">
        <f>Smooth!S17</f>
        <v>0.11298592365725364</v>
      </c>
      <c r="U18" s="7">
        <f>Smooth!T17</f>
        <v>-2.0976087696381499E-2</v>
      </c>
      <c r="V18" s="7">
        <f>Smooth!U17</f>
        <v>-4.1454800077324105E-2</v>
      </c>
      <c r="W18" s="9">
        <f>Smooth!V17</f>
        <v>0.77422189999999991</v>
      </c>
      <c r="X18" s="9">
        <f>Smooth!W17</f>
        <v>0.39519900000000002</v>
      </c>
      <c r="Y18" s="9">
        <f>Smooth!X17</f>
        <v>0.37512309999999999</v>
      </c>
      <c r="Z18" s="9">
        <f>Smooth!Y17</f>
        <v>-2.0075899999999994E-2</v>
      </c>
      <c r="AA18" s="9">
        <f>Smooth!Z17</f>
        <v>-3.2726919000000035E-2</v>
      </c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8"/>
      <c r="AX18" s="8"/>
      <c r="AY18" s="8"/>
      <c r="AZ18" s="8"/>
      <c r="BA18" s="8"/>
      <c r="BB18" s="8"/>
    </row>
    <row r="19" spans="1:54" dyDescent="0.5">
      <c r="A19" s="3">
        <v>2017</v>
      </c>
      <c r="B19" s="7">
        <f>Smooth!A18</f>
        <v>0.54810909822161524</v>
      </c>
      <c r="C19" s="7">
        <f>Smooth!B18</f>
        <v>9.1353534109024456E-2</v>
      </c>
      <c r="D19" s="7">
        <f>Smooth!C18</f>
        <v>0.4549712005844751</v>
      </c>
      <c r="E19" s="7">
        <f>Smooth!D18</f>
        <v>5.2060391011554605</v>
      </c>
      <c r="F19" s="7">
        <f>Smooth!E18</f>
        <v>0.12866447853825669</v>
      </c>
      <c r="G19" s="7">
        <f>Smooth!F18</f>
        <v>1.0911242012615521</v>
      </c>
      <c r="H19" s="7">
        <f>Smooth!G18</f>
        <v>1.3202718902957269</v>
      </c>
      <c r="I19" s="7">
        <f>Smooth!H18</f>
        <v>4.118217100370121E-2</v>
      </c>
      <c r="J19" s="7">
        <f>Smooth!I18</f>
        <v>0.99110760755551397</v>
      </c>
      <c r="K19" s="7">
        <f>Smooth!J18</f>
        <v>0.90594177673752441</v>
      </c>
      <c r="L19" s="7">
        <f>Smooth!K18</f>
        <v>0.39736579867414484</v>
      </c>
      <c r="M19" s="7">
        <f>Smooth!L18</f>
        <v>0.10787086878503449</v>
      </c>
      <c r="N19" s="7">
        <f>Smooth!M18</f>
        <v>0.14859020235446457</v>
      </c>
      <c r="O19" s="7">
        <f>Smooth!N18</f>
        <v>0.14798286309943354</v>
      </c>
      <c r="P19" s="7">
        <f>Smooth!O18</f>
        <v>0.17239526078572512</v>
      </c>
      <c r="Q19" s="7">
        <f>Smooth!P18</f>
        <v>0.41435062450168009</v>
      </c>
      <c r="R19" s="7">
        <f>Smooth!Q18</f>
        <v>0.41011714576778896</v>
      </c>
      <c r="S19" s="7">
        <f>Smooth!R18</f>
        <v>4.2334787338911325E-3</v>
      </c>
      <c r="T19" s="7">
        <f>Smooth!S18</f>
        <v>0.11298577511088467</v>
      </c>
      <c r="U19" s="7">
        <f>Smooth!T18</f>
        <v>-1.6984825827535167E-2</v>
      </c>
      <c r="V19" s="7">
        <f>Smooth!U18</f>
        <v>-4.1454800077324105E-2</v>
      </c>
      <c r="W19" s="9">
        <f>Smooth!V18</f>
        <v>0.82744949999999995</v>
      </c>
      <c r="X19" s="9">
        <f>Smooth!W18</f>
        <v>0.37952219999999998</v>
      </c>
      <c r="Y19" s="9">
        <f>Smooth!X18</f>
        <v>0.3632765</v>
      </c>
      <c r="Z19" s="9">
        <f>Smooth!Y18</f>
        <v>-1.6245699999999925E-2</v>
      </c>
      <c r="AA19" s="9">
        <f>Smooth!Z18</f>
        <v>1.4359861999999996E-2</v>
      </c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8"/>
      <c r="AX19" s="8"/>
      <c r="AY19" s="8"/>
      <c r="AZ19" s="8"/>
      <c r="BA19" s="8"/>
      <c r="BB19" s="8"/>
    </row>
    <row r="20" spans="1:54" dyDescent="0.5">
      <c r="A20" s="3">
        <v>2018</v>
      </c>
      <c r="B20" s="7">
        <f>Smooth!A19</f>
        <v>0.53665073979109901</v>
      </c>
      <c r="C20" s="7">
        <f>Smooth!B19</f>
        <v>9.2065935948553723E-2</v>
      </c>
      <c r="D20" s="7">
        <f>Smooth!C19</f>
        <v>0.45606345154865663</v>
      </c>
      <c r="E20" s="7">
        <f>Smooth!D19</f>
        <v>5.1448459092089491</v>
      </c>
      <c r="F20" s="7">
        <f>Smooth!E19</f>
        <v>0.13387915376987064</v>
      </c>
      <c r="G20" s="7">
        <f>Smooth!F19</f>
        <v>1.0827552790741783</v>
      </c>
      <c r="H20" s="7">
        <f>Smooth!G19</f>
        <v>1.3076726174484348</v>
      </c>
      <c r="I20" s="7">
        <f>Smooth!H19</f>
        <v>4.1749053866382321E-2</v>
      </c>
      <c r="J20" s="7">
        <f>Smooth!I19</f>
        <v>0.98859172237184156</v>
      </c>
      <c r="K20" s="7">
        <f>Smooth!J19</f>
        <v>0.91973404492465638</v>
      </c>
      <c r="L20" s="7">
        <f>Smooth!K19</f>
        <v>0.40320600906927995</v>
      </c>
      <c r="M20" s="7">
        <f>Smooth!L19</f>
        <v>0.1215110538945621</v>
      </c>
      <c r="N20" s="7">
        <f>Smooth!M19</f>
        <v>0.14867144601019164</v>
      </c>
      <c r="O20" s="7">
        <f>Smooth!N19</f>
        <v>0.14853819557587486</v>
      </c>
      <c r="P20" s="7">
        <f>Smooth!O19</f>
        <v>0.17455710988501957</v>
      </c>
      <c r="Q20" s="7">
        <f>Smooth!P19</f>
        <v>0.41222538551320853</v>
      </c>
      <c r="R20" s="7">
        <f>Smooth!Q19</f>
        <v>0.40799189508114603</v>
      </c>
      <c r="S20" s="7">
        <f>Smooth!R19</f>
        <v>4.2334904320625449E-3</v>
      </c>
      <c r="T20" s="7">
        <f>Smooth!S19</f>
        <v>0.11298564382877836</v>
      </c>
      <c r="U20" s="7">
        <f>Smooth!T19</f>
        <v>-9.0193764439285267E-3</v>
      </c>
      <c r="V20" s="7">
        <f>Smooth!U19</f>
        <v>-4.1454800077324105E-2</v>
      </c>
      <c r="W20" s="9">
        <f>Smooth!V19</f>
        <v>0.84777049999999998</v>
      </c>
      <c r="X20" s="9">
        <f>Smooth!W19</f>
        <v>0.38057429999999998</v>
      </c>
      <c r="Y20" s="9">
        <f>Smooth!X19</f>
        <v>0.37190519999999999</v>
      </c>
      <c r="Z20" s="9">
        <f>Smooth!Y19</f>
        <v>-8.6690999999999435E-3</v>
      </c>
      <c r="AA20" s="9">
        <f>Smooth!Z19</f>
        <v>1.5692792999999993E-2</v>
      </c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8"/>
      <c r="AX20" s="8"/>
      <c r="AY20" s="8"/>
      <c r="AZ20" s="8"/>
      <c r="BA20" s="8"/>
      <c r="BB20" s="8"/>
    </row>
    <row r="21" spans="1:54" dyDescent="0.5">
      <c r="A21" s="3">
        <v>2019</v>
      </c>
      <c r="B21" s="7">
        <f>Smooth!A20</f>
        <v>0.52433206646002817</v>
      </c>
      <c r="C21" s="7">
        <f>Smooth!B20</f>
        <v>9.2434942196535336E-2</v>
      </c>
      <c r="D21" s="7">
        <f>Smooth!C20</f>
        <v>0.45654329660977727</v>
      </c>
      <c r="E21" s="7">
        <f>Smooth!D20</f>
        <v>5.0898266721594743</v>
      </c>
      <c r="F21" s="7">
        <f>Smooth!E20</f>
        <v>0.13776017554386713</v>
      </c>
      <c r="G21" s="7">
        <f>Smooth!F20</f>
        <v>1.0726112170507949</v>
      </c>
      <c r="H21" s="7">
        <f>Smooth!G20</f>
        <v>1.2945994926128652</v>
      </c>
      <c r="I21" s="7">
        <f>Smooth!H20</f>
        <v>4.2077407830493921E-2</v>
      </c>
      <c r="J21" s="7">
        <f>Smooth!I20</f>
        <v>0.98435899894289414</v>
      </c>
      <c r="K21" s="7">
        <f>Smooth!J20</f>
        <v>0.93516373471456793</v>
      </c>
      <c r="L21" s="7">
        <f>Smooth!K20</f>
        <v>0.40973394921138911</v>
      </c>
      <c r="M21" s="7">
        <f>Smooth!L20</f>
        <v>0.13792557304751296</v>
      </c>
      <c r="N21" s="7">
        <f>Smooth!M20</f>
        <v>0.14892513830307288</v>
      </c>
      <c r="O21" s="7">
        <f>Smooth!N20</f>
        <v>0.14928893929674908</v>
      </c>
      <c r="P21" s="7">
        <f>Smooth!O20</f>
        <v>0.17630109873179187</v>
      </c>
      <c r="Q21" s="7">
        <f>Smooth!P20</f>
        <v>0.41051897504689955</v>
      </c>
      <c r="R21" s="7">
        <f>Smooth!Q20</f>
        <v>0.40628549018648169</v>
      </c>
      <c r="S21" s="7">
        <f>Smooth!R20</f>
        <v>4.2334848604178776E-3</v>
      </c>
      <c r="T21" s="7">
        <f>Smooth!S20</f>
        <v>0.11298551189421988</v>
      </c>
      <c r="U21" s="7">
        <f>Smooth!T20</f>
        <v>-7.8502583551040474E-4</v>
      </c>
      <c r="V21" s="7">
        <f>Smooth!U20</f>
        <v>-4.1454800077324105E-2</v>
      </c>
      <c r="W21" s="9">
        <f>Smooth!V20</f>
        <v>0.87118479999999998</v>
      </c>
      <c r="X21" s="9">
        <f>Smooth!W20</f>
        <v>0.38267119999999999</v>
      </c>
      <c r="Y21" s="9">
        <f>Smooth!X20</f>
        <v>0.3818435</v>
      </c>
      <c r="Z21" s="9">
        <f>Smooth!Y20</f>
        <v>-8.2769999999997464E-4</v>
      </c>
      <c r="AA21" s="9">
        <f>Smooth!Z20</f>
        <v>1.4015588000000016E-2</v>
      </c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8"/>
      <c r="AX21" s="8"/>
      <c r="AY21" s="8"/>
      <c r="AZ21" s="8"/>
      <c r="BA21" s="8"/>
      <c r="BB21" s="8"/>
    </row>
    <row r="22" spans="1:54" dyDescent="0.5">
      <c r="A22" s="3">
        <v>2020</v>
      </c>
      <c r="B22" s="7">
        <f>Smooth!A21</f>
        <v>0.54409492077614141</v>
      </c>
      <c r="C22" s="7">
        <f>Smooth!B21</f>
        <v>8.7817819350815535E-2</v>
      </c>
      <c r="D22" s="7">
        <f>Smooth!C21</f>
        <v>0.45827404177389369</v>
      </c>
      <c r="E22" s="7">
        <f>Smooth!D21</f>
        <v>4.9397808565569195</v>
      </c>
      <c r="F22" s="7">
        <f>Smooth!E21</f>
        <v>4.0672004401445333E-2</v>
      </c>
      <c r="G22" s="7">
        <f>Smooth!F21</f>
        <v>1.0122561927365865</v>
      </c>
      <c r="H22" s="7">
        <f>Smooth!G21</f>
        <v>1.2197454564952577</v>
      </c>
      <c r="I22" s="7">
        <f>Smooth!H21</f>
        <v>4.0204008514568235E-2</v>
      </c>
      <c r="J22" s="7">
        <f>Smooth!I21</f>
        <v>0.93063108577389397</v>
      </c>
      <c r="K22" s="7">
        <f>Smooth!J21</f>
        <v>0.9735961015004837</v>
      </c>
      <c r="L22" s="7">
        <f>Smooth!K21</f>
        <v>0.34743508428930464</v>
      </c>
      <c r="M22" s="7">
        <f>Smooth!L21</f>
        <v>1.8515356871529887E-2</v>
      </c>
      <c r="N22" s="7">
        <f>Smooth!M21</f>
        <v>0.14653633284505382</v>
      </c>
      <c r="O22" s="7">
        <f>Smooth!N21</f>
        <v>0.14443467987289571</v>
      </c>
      <c r="P22" s="7">
        <f>Smooth!O21</f>
        <v>0.1802718072098019</v>
      </c>
      <c r="Q22" s="7">
        <f>Smooth!P21</f>
        <v>0.42748926755899957</v>
      </c>
      <c r="R22" s="7">
        <f>Smooth!Q21</f>
        <v>0.42325573640487274</v>
      </c>
      <c r="S22" s="7">
        <f>Smooth!R21</f>
        <v>4.2335311541268723E-3</v>
      </c>
      <c r="T22" s="7">
        <f>Smooth!S21</f>
        <v>0.1129854311970105</v>
      </c>
      <c r="U22" s="7">
        <f>Smooth!T21</f>
        <v>-8.0054183269694948E-2</v>
      </c>
      <c r="V22" s="7">
        <f>Smooth!U21</f>
        <v>-4.1454800077324105E-2</v>
      </c>
      <c r="W22" s="9">
        <f>Smooth!V21</f>
        <v>0.96006839999999993</v>
      </c>
      <c r="X22" s="9">
        <f>Smooth!W21</f>
        <v>0.42077399999999998</v>
      </c>
      <c r="Y22" s="9">
        <f>Smooth!X21</f>
        <v>0.34541539999999998</v>
      </c>
      <c r="Z22" s="9">
        <f>Smooth!Y21</f>
        <v>-7.535859999999997E-2</v>
      </c>
      <c r="AA22" s="9">
        <f>Smooth!Z21</f>
        <v>-3.3425224999999989E-2</v>
      </c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8"/>
      <c r="AX22" s="8"/>
      <c r="AY22" s="8"/>
      <c r="AZ22" s="8"/>
      <c r="BA22" s="8"/>
      <c r="BB22" s="8"/>
    </row>
    <row r="23" spans="1:54" dyDescent="0.5">
      <c r="A23" s="3">
        <v>2021</v>
      </c>
      <c r="B23" s="7">
        <f>Smooth!A22</f>
        <v>0.51824540606424963</v>
      </c>
      <c r="C23" s="7">
        <f>Smooth!B22</f>
        <v>9.3578892334355734E-2</v>
      </c>
      <c r="D23" s="7">
        <f>Smooth!C22</f>
        <v>0.45812205456374738</v>
      </c>
      <c r="E23" s="7">
        <f>Smooth!D22</f>
        <v>4.9036231170512448</v>
      </c>
      <c r="F23" s="7">
        <f>Smooth!E22</f>
        <v>0.14893780439824383</v>
      </c>
      <c r="G23" s="7">
        <f>Smooth!F22</f>
        <v>1.0376583902881844</v>
      </c>
      <c r="H23" s="7">
        <f>Smooth!G22</f>
        <v>1.2497485142352009</v>
      </c>
      <c r="I23" s="7">
        <f>Smooth!H22</f>
        <v>4.3247529974041451E-2</v>
      </c>
      <c r="J23" s="7">
        <f>Smooth!I22</f>
        <v>0.96930252454496657</v>
      </c>
      <c r="K23" s="7">
        <f>Smooth!J22</f>
        <v>0.92215889420710817</v>
      </c>
      <c r="L23" s="7">
        <f>Smooth!K22</f>
        <v>0.39128308382432697</v>
      </c>
      <c r="M23" s="7">
        <f>Smooth!L22</f>
        <v>0.10825071058674653</v>
      </c>
      <c r="N23" s="7">
        <f>Smooth!M22</f>
        <v>0.14807041774619936</v>
      </c>
      <c r="O23" s="7">
        <f>Smooth!N22</f>
        <v>0.14794988288550967</v>
      </c>
      <c r="P23" s="7">
        <f>Smooth!O22</f>
        <v>0.17930922129721355</v>
      </c>
      <c r="Q23" s="7">
        <f>Smooth!P22</f>
        <v>0.37047517982569073</v>
      </c>
      <c r="R23" s="7">
        <f>Smooth!Q22</f>
        <v>0.36624171582200027</v>
      </c>
      <c r="S23" s="7">
        <f>Smooth!R22</f>
        <v>4.2334640036905064E-3</v>
      </c>
      <c r="T23" s="7">
        <f>Smooth!S22</f>
        <v>0.11298528637312114</v>
      </c>
      <c r="U23" s="7">
        <f>Smooth!T22</f>
        <v>2.0807903998636294E-2</v>
      </c>
      <c r="V23" s="7">
        <f>Smooth!U22</f>
        <v>-4.1454800077324105E-2</v>
      </c>
      <c r="W23" s="9">
        <f>Smooth!V22</f>
        <v>0.88934270000000004</v>
      </c>
      <c r="X23" s="9">
        <f>Smooth!W22</f>
        <v>0.35761710000000002</v>
      </c>
      <c r="Y23" s="9">
        <f>Smooth!X22</f>
        <v>0.37740240000000003</v>
      </c>
      <c r="Z23" s="9">
        <f>Smooth!Y22</f>
        <v>1.9785300000000047E-2</v>
      </c>
      <c r="AA23" s="9">
        <f>Smooth!Z22</f>
        <v>4.7600752999999982E-2</v>
      </c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8"/>
      <c r="AX23" s="8"/>
      <c r="AY23" s="8"/>
      <c r="AZ23" s="8"/>
      <c r="BA23" s="8"/>
      <c r="BB23" s="8"/>
    </row>
    <row r="24" spans="1:54" dyDescent="0.5">
      <c r="A24" s="3">
        <v>2022</v>
      </c>
      <c r="B24" s="7">
        <f>Smooth!A23</f>
        <v>0.49450459662563845</v>
      </c>
      <c r="C24" s="7">
        <f>Smooth!B23</f>
        <v>9.5047539522648938E-2</v>
      </c>
      <c r="D24" s="7">
        <f>Smooth!C23</f>
        <v>0.46074841089270785</v>
      </c>
      <c r="E24" s="7">
        <f>Smooth!D23</f>
        <v>4.871293705639089</v>
      </c>
      <c r="F24" s="7">
        <f>Smooth!E23</f>
        <v>0.15141128768093359</v>
      </c>
      <c r="G24" s="7">
        <f>Smooth!F23</f>
        <v>1.0446116553773774</v>
      </c>
      <c r="H24" s="7">
        <f>Smooth!G23</f>
        <v>1.2510119086451683</v>
      </c>
      <c r="I24" s="7">
        <f>Smooth!H23</f>
        <v>4.4245537073123682E-2</v>
      </c>
      <c r="J24" s="7">
        <f>Smooth!I23</f>
        <v>0.97630370450475734</v>
      </c>
      <c r="K24" s="7">
        <f>Smooth!J23</f>
        <v>0.87569789324591452</v>
      </c>
      <c r="L24" s="7">
        <f>Smooth!K23</f>
        <v>0.41243874729960389</v>
      </c>
      <c r="M24" s="7">
        <f>Smooth!L23</f>
        <v>0.15927632568202665</v>
      </c>
      <c r="N24" s="7">
        <f>Smooth!M23</f>
        <v>0.14985794432806593</v>
      </c>
      <c r="O24" s="7">
        <f>Smooth!N23</f>
        <v>0.14985068329175857</v>
      </c>
      <c r="P24" s="7">
        <f>Smooth!O23</f>
        <v>0.17708480993467299</v>
      </c>
      <c r="Q24" s="7">
        <f>Smooth!P23</f>
        <v>0.39869577107080539</v>
      </c>
      <c r="R24" s="7">
        <f>Smooth!Q23</f>
        <v>0.39446222157351285</v>
      </c>
      <c r="S24" s="7">
        <f>Smooth!R23</f>
        <v>4.2335494972926E-3</v>
      </c>
      <c r="T24" s="7">
        <f>Smooth!S23</f>
        <v>0.11298523246944234</v>
      </c>
      <c r="U24" s="7">
        <f>Smooth!T23</f>
        <v>1.3742976228798495E-2</v>
      </c>
      <c r="V24" s="7">
        <f>Smooth!U23</f>
        <v>-4.1454800077324105E-2</v>
      </c>
      <c r="W24" s="9">
        <f>Smooth!V23</f>
        <v>0.83938840000000003</v>
      </c>
      <c r="X24" s="9">
        <f>Smooth!W23</f>
        <v>0.38173829999999997</v>
      </c>
      <c r="Y24" s="9">
        <f>Smooth!X23</f>
        <v>0.3948064</v>
      </c>
      <c r="Z24" s="9">
        <f>Smooth!Y23</f>
        <v>1.3068100000000017E-2</v>
      </c>
      <c r="AA24" s="9">
        <f>Smooth!Z23</f>
        <v>3.0169652000000002E-2</v>
      </c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8"/>
      <c r="AX24" s="8"/>
      <c r="AY24" s="8"/>
      <c r="AZ24" s="8"/>
      <c r="BA24" s="8"/>
      <c r="BB24" s="8"/>
    </row>
    <row r="25" spans="1:54" dyDescent="0.5">
      <c r="A25" s="3">
        <v>2023</v>
      </c>
      <c r="B25" s="7">
        <f>Smooth!A24</f>
        <v>0.50276550247507057</v>
      </c>
      <c r="C25" s="7">
        <f>Smooth!B24</f>
        <v>9.666100498878058E-2</v>
      </c>
      <c r="D25" s="7">
        <f>Smooth!C24</f>
        <v>0.46652400122973159</v>
      </c>
      <c r="E25" s="7">
        <f>Smooth!D24</f>
        <v>4.8207966168884528</v>
      </c>
      <c r="F25" s="7">
        <f>Smooth!E24</f>
        <v>0.1320322145005742</v>
      </c>
      <c r="G25" s="7">
        <f>Smooth!F24</f>
        <v>1.0539378028859163</v>
      </c>
      <c r="H25" s="7">
        <f>Smooth!G24</f>
        <v>1.2468381538856805</v>
      </c>
      <c r="I25" s="7">
        <f>Smooth!H24</f>
        <v>4.5612412930228469E-2</v>
      </c>
      <c r="J25" s="7">
        <f>Smooth!I24</f>
        <v>0.98150646974319078</v>
      </c>
      <c r="K25" s="7">
        <f>Smooth!J24</f>
        <v>0.88494848462901066</v>
      </c>
      <c r="L25" s="7">
        <f>Smooth!K24</f>
        <v>0.39616977689463023</v>
      </c>
      <c r="M25" s="7">
        <f>Smooth!L24</f>
        <v>0.12390171568766387</v>
      </c>
      <c r="N25" s="7">
        <f>Smooth!M24</f>
        <v>0.14874988061995315</v>
      </c>
      <c r="O25" s="7">
        <f>Smooth!N24</f>
        <v>0.14844563319637069</v>
      </c>
      <c r="P25" s="7">
        <f>Smooth!O24</f>
        <v>0.17619539373558241</v>
      </c>
      <c r="Q25" s="7">
        <f>Smooth!P24</f>
        <v>0.41914008591027152</v>
      </c>
      <c r="R25" s="7">
        <f>Smooth!Q24</f>
        <v>0.41490648362438826</v>
      </c>
      <c r="S25" s="7">
        <f>Smooth!R24</f>
        <v>4.2336022858832549E-3</v>
      </c>
      <c r="T25" s="7">
        <f>Smooth!S24</f>
        <v>0.11298523337414636</v>
      </c>
      <c r="U25" s="7">
        <f>Smooth!T24</f>
        <v>-2.2970309015641288E-2</v>
      </c>
      <c r="V25" s="7">
        <f>Smooth!U24</f>
        <v>-4.1454800077324105E-2</v>
      </c>
      <c r="W25" s="9">
        <f>Smooth!V24</f>
        <v>0.84000520000000001</v>
      </c>
      <c r="X25" s="9">
        <f>Smooth!W24</f>
        <v>0.39764460000000001</v>
      </c>
      <c r="Y25" s="9">
        <f>Smooth!X24</f>
        <v>0.37596849999999998</v>
      </c>
      <c r="Z25" s="9">
        <f>Smooth!Y24</f>
        <v>-2.1676100000000018E-2</v>
      </c>
      <c r="AA25" s="9">
        <f>Smooth!Z24</f>
        <v>3.2411622000000022E-2</v>
      </c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8"/>
      <c r="AX25" s="8"/>
      <c r="AY25" s="8"/>
      <c r="AZ25" s="8"/>
      <c r="BA25" s="8"/>
      <c r="BB25" s="8"/>
    </row>
    <row r="26" spans="1:54" dyDescent="0.5">
      <c r="A26" s="3">
        <v>2024</v>
      </c>
      <c r="B26" s="7">
        <f>Smooth!A25</f>
        <v>0.48415648993184696</v>
      </c>
      <c r="C26" s="7">
        <f>Smooth!B25</f>
        <v>9.8831069609492853E-2</v>
      </c>
      <c r="D26" s="7">
        <f>Smooth!C25</f>
        <v>0.46802539226850065</v>
      </c>
      <c r="E26" s="7">
        <f>Smooth!D25</f>
        <v>4.7981407761385846</v>
      </c>
      <c r="F26" s="7">
        <f>Smooth!E25</f>
        <v>0.15798131659866355</v>
      </c>
      <c r="G26" s="7">
        <f>Smooth!F25</f>
        <v>1.0648803907467579</v>
      </c>
      <c r="H26" s="7">
        <f>Smooth!G25</f>
        <v>1.2556814515630754</v>
      </c>
      <c r="I26" s="7">
        <f>Smooth!H25</f>
        <v>4.6877727520141035E-2</v>
      </c>
      <c r="J26" s="7">
        <f>Smooth!I25</f>
        <v>0.99497309191623051</v>
      </c>
      <c r="K26" s="7">
        <f>Smooth!J25</f>
        <v>0.92978684244502108</v>
      </c>
      <c r="L26" s="7">
        <f>Smooth!K25</f>
        <v>0.42046242388173066</v>
      </c>
      <c r="M26" s="7">
        <f>Smooth!L25</f>
        <v>0.17256467077521306</v>
      </c>
      <c r="N26" s="7">
        <f>Smooth!M25</f>
        <v>0.15012201089544303</v>
      </c>
      <c r="O26" s="7">
        <f>Smooth!N25</f>
        <v>0.15036714057266024</v>
      </c>
      <c r="P26" s="7">
        <f>Smooth!O25</f>
        <v>0.17703336400013622</v>
      </c>
      <c r="Q26" s="7">
        <f>Smooth!P25</f>
        <v>0.42274258421624727</v>
      </c>
      <c r="R26" s="7">
        <f>Smooth!Q25</f>
        <v>0.41850896835940327</v>
      </c>
      <c r="S26" s="7">
        <f>Smooth!R25</f>
        <v>4.2336158568439981E-3</v>
      </c>
      <c r="T26" s="7">
        <f>Smooth!S25</f>
        <v>0.1129852478159115</v>
      </c>
      <c r="U26" s="7">
        <f>Smooth!T25</f>
        <v>-2.2801603345165723E-3</v>
      </c>
      <c r="V26" s="7">
        <f>Smooth!U25</f>
        <v>-4.1454800077324105E-2</v>
      </c>
      <c r="W26" s="9">
        <f>Smooth!V25</f>
        <v>0.87283840000000001</v>
      </c>
      <c r="X26" s="9">
        <f>Smooth!W25</f>
        <v>0.39704719999999999</v>
      </c>
      <c r="Y26" s="9">
        <f>Smooth!X25</f>
        <v>0.39485360000000003</v>
      </c>
      <c r="Z26" s="9">
        <f>Smooth!Y25</f>
        <v>-2.1935999999999883E-3</v>
      </c>
      <c r="AA26" s="9">
        <f>Smooth!Z25</f>
        <v>3.3938882999999996E-2</v>
      </c>
      <c r="AC26" s="7">
        <f>Forecast!A2</f>
        <v>0.48415648993184696</v>
      </c>
      <c r="AD26" s="7">
        <f>Forecast!B2</f>
        <v>9.8831069609492853E-2</v>
      </c>
      <c r="AE26" s="7">
        <f>Forecast!C2</f>
        <v>0.46802539226850065</v>
      </c>
      <c r="AF26" s="7">
        <f>Forecast!D2</f>
        <v>4.7981407761385846</v>
      </c>
      <c r="AG26" s="7">
        <f>Forecast!E2</f>
        <v>0.15798131659866355</v>
      </c>
      <c r="AH26" s="7">
        <f>Forecast!F2</f>
        <v>1.0648803907467579</v>
      </c>
      <c r="AI26" s="7">
        <f>Forecast!G2</f>
        <v>1.2556814515630754</v>
      </c>
      <c r="AJ26" s="7">
        <f>Forecast!H2</f>
        <v>4.6877727520141035E-2</v>
      </c>
      <c r="AK26" s="7">
        <f>Forecast!I2</f>
        <v>0.99497309191623051</v>
      </c>
      <c r="AL26" s="7">
        <f>Forecast!J2</f>
        <v>0.92978684244502108</v>
      </c>
      <c r="AM26" s="7">
        <f>Forecast!K2</f>
        <v>0.42046242388173066</v>
      </c>
      <c r="AN26" s="7">
        <f>Forecast!L2</f>
        <v>0.17256467077521306</v>
      </c>
      <c r="AO26" s="7">
        <f>Forecast!M2</f>
        <v>0.15012201089544303</v>
      </c>
      <c r="AP26" s="7">
        <f>Forecast!N2</f>
        <v>0.15036714057266024</v>
      </c>
      <c r="AQ26" s="7">
        <f>Forecast!O2</f>
        <v>0.17703336400013622</v>
      </c>
      <c r="AR26" s="7">
        <f>Forecast!P2</f>
        <v>0.42274258421624727</v>
      </c>
      <c r="AS26" s="7">
        <f>Forecast!Q2</f>
        <v>0.41850896835940327</v>
      </c>
      <c r="AT26" s="7">
        <f>Forecast!R2</f>
        <v>4.2336158568439981E-3</v>
      </c>
      <c r="AU26" s="7">
        <f>Forecast!S2</f>
        <v>0.1129852478159115</v>
      </c>
      <c r="AV26" s="7">
        <f>Forecast!T2</f>
        <v>-2.2801603345165723E-3</v>
      </c>
      <c r="AW26" s="7">
        <f>Forecast!U2</f>
        <v>-4.1454800077324105E-2</v>
      </c>
      <c r="AX26" s="9">
        <f>Forecast!V2</f>
        <v>0.87283840000000001</v>
      </c>
      <c r="AY26" s="9">
        <f>Forecast!W2</f>
        <v>0.39704719999999999</v>
      </c>
      <c r="AZ26" s="9">
        <f>Forecast!X2</f>
        <v>0.39485360000000003</v>
      </c>
      <c r="BA26" s="9">
        <f>Forecast!Y2</f>
        <v>-2.1935999999999883E-3</v>
      </c>
      <c r="BB26" s="9">
        <f>Forecast!Z2</f>
        <v>3.3938882999999996E-2</v>
      </c>
    </row>
    <row r="27" spans="1:54" dyDescent="0.5">
      <c r="A27" s="3">
        <v>2025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6"/>
      <c r="W27" s="6"/>
      <c r="X27" s="6"/>
      <c r="Y27" s="6"/>
      <c r="Z27" s="6"/>
      <c r="AA27" s="6"/>
      <c r="AC27" s="7">
        <f>Forecast!A3</f>
        <v>0.48560505650194696</v>
      </c>
      <c r="AD27" s="7">
        <f>Forecast!B3</f>
        <v>9.9251129833932E-2</v>
      </c>
      <c r="AE27" s="7">
        <f>Forecast!C3</f>
        <v>0.46845887913119538</v>
      </c>
      <c r="AF27" s="7">
        <f>Forecast!D3</f>
        <v>4.7803181355948938</v>
      </c>
      <c r="AG27" s="7">
        <f>Forecast!E3</f>
        <v>0.16196559348456213</v>
      </c>
      <c r="AH27" s="7">
        <f>Forecast!F3</f>
        <v>1.0640590879716993</v>
      </c>
      <c r="AI27" s="7">
        <f>Forecast!G3</f>
        <v>1.2535950877333077</v>
      </c>
      <c r="AJ27" s="7">
        <f>Forecast!H3</f>
        <v>4.7178451117174308E-2</v>
      </c>
      <c r="AK27" s="7">
        <f>Forecast!I3</f>
        <v>0.99588026775872807</v>
      </c>
      <c r="AL27" s="7">
        <f>Forecast!J3</f>
        <v>0.93049111639089599</v>
      </c>
      <c r="AM27" s="7">
        <f>Forecast!K3</f>
        <v>0.41779848449347373</v>
      </c>
      <c r="AN27" s="7">
        <f>Forecast!L3</f>
        <v>0.16619715766380577</v>
      </c>
      <c r="AO27" s="7">
        <f>Forecast!M3</f>
        <v>0.15005012457936304</v>
      </c>
      <c r="AP27" s="7">
        <f>Forecast!N3</f>
        <v>0.15015001964119162</v>
      </c>
      <c r="AQ27" s="7">
        <f>Forecast!O3</f>
        <v>0.17742750864129497</v>
      </c>
      <c r="AR27" s="7">
        <f>Forecast!P3</f>
        <v>0.41648843798519009</v>
      </c>
      <c r="AS27" s="7">
        <f>Forecast!Q3</f>
        <v>0.41225484814198354</v>
      </c>
      <c r="AT27" s="7">
        <f>Forecast!R3</f>
        <v>4.233589843206537E-3</v>
      </c>
      <c r="AU27" s="7">
        <f>Forecast!S3</f>
        <v>0.11298523570290053</v>
      </c>
      <c r="AV27" s="7">
        <f>Forecast!T3</f>
        <v>1.3100465082837021E-3</v>
      </c>
      <c r="AW27" s="7">
        <f>Forecast!U3</f>
        <v>-4.1454800077324105E-2</v>
      </c>
      <c r="AX27" s="9">
        <f>Forecast!V3</f>
        <v>0.87421920541136722</v>
      </c>
      <c r="AY27" s="9">
        <f>Forecast!W3</f>
        <v>0.39143840496891358</v>
      </c>
      <c r="AZ27" s="9">
        <f>Forecast!X3</f>
        <v>0.392641905693839</v>
      </c>
      <c r="BA27" s="9">
        <f>Forecast!Y3</f>
        <v>1.2035007249253877E-3</v>
      </c>
      <c r="BB27" s="9">
        <f>Forecast!Z3</f>
        <v>2.2824008670810574E-2</v>
      </c>
    </row>
    <row r="28" spans="1:54" dyDescent="0.5">
      <c r="A28" s="3">
        <v>2026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6"/>
      <c r="W28" s="6"/>
      <c r="X28" s="6"/>
      <c r="Y28" s="6"/>
      <c r="Z28" s="6"/>
      <c r="AA28" s="6"/>
      <c r="AC28" s="7">
        <f>Forecast!A4</f>
        <v>0.4856209070600972</v>
      </c>
      <c r="AD28" s="7">
        <f>Forecast!B4</f>
        <v>9.9594251631965836E-2</v>
      </c>
      <c r="AE28" s="7">
        <f>Forecast!C4</f>
        <v>0.4688806792879025</v>
      </c>
      <c r="AF28" s="7">
        <f>Forecast!D4</f>
        <v>4.7659111180202114</v>
      </c>
      <c r="AG28" s="7">
        <f>Forecast!E4</f>
        <v>0.16471339505804111</v>
      </c>
      <c r="AH28" s="7">
        <f>Forecast!F4</f>
        <v>1.0635442003767368</v>
      </c>
      <c r="AI28" s="7">
        <f>Forecast!G4</f>
        <v>1.2518963022613443</v>
      </c>
      <c r="AJ28" s="7">
        <f>Forecast!H4</f>
        <v>4.7424712358057945E-2</v>
      </c>
      <c r="AK28" s="7">
        <f>Forecast!I4</f>
        <v>0.99662373103765833</v>
      </c>
      <c r="AL28" s="7">
        <f>Forecast!J4</f>
        <v>0.92943907853524821</v>
      </c>
      <c r="AM28" s="7">
        <f>Forecast!K4</f>
        <v>0.41660449289069795</v>
      </c>
      <c r="AN28" s="7">
        <f>Forecast!L4</f>
        <v>0.16366745683132641</v>
      </c>
      <c r="AO28" s="7">
        <f>Forecast!M4</f>
        <v>0.15002059220569769</v>
      </c>
      <c r="AP28" s="7">
        <f>Forecast!N4</f>
        <v>0.15006130047839766</v>
      </c>
      <c r="AQ28" s="7">
        <f>Forecast!O4</f>
        <v>0.17756912673979669</v>
      </c>
      <c r="AR28" s="7">
        <f>Forecast!P4</f>
        <v>0.41320989825859844</v>
      </c>
      <c r="AS28" s="7">
        <f>Forecast!Q4</f>
        <v>0.40897632064481587</v>
      </c>
      <c r="AT28" s="7">
        <f>Forecast!R4</f>
        <v>4.2335776137825722E-3</v>
      </c>
      <c r="AU28" s="7">
        <f>Forecast!S4</f>
        <v>0.11298521181434493</v>
      </c>
      <c r="AV28" s="7">
        <f>Forecast!T4</f>
        <v>3.3945946320995523E-3</v>
      </c>
      <c r="AW28" s="7">
        <f>Forecast!U4</f>
        <v>-4.1454800077324105E-2</v>
      </c>
      <c r="AX28" s="9">
        <f>Forecast!V4</f>
        <v>0.87367369566597519</v>
      </c>
      <c r="AY28" s="9">
        <f>Forecast!W4</f>
        <v>0.38852901116538241</v>
      </c>
      <c r="AZ28" s="9">
        <f>Forecast!X4</f>
        <v>0.39170516853745285</v>
      </c>
      <c r="BA28" s="9">
        <f>Forecast!Y4</f>
        <v>3.1761573720704016E-3</v>
      </c>
      <c r="BB28" s="9">
        <f>Forecast!Z4</f>
        <v>2.3113518861336446E-2</v>
      </c>
    </row>
    <row r="29" spans="1:54" dyDescent="0.5">
      <c r="A29" s="3">
        <v>2027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6"/>
      <c r="W29" s="6"/>
      <c r="X29" s="6"/>
      <c r="Y29" s="6"/>
      <c r="Z29" s="6"/>
      <c r="AA29" s="6"/>
      <c r="AC29" s="7">
        <f>Forecast!A5</f>
        <v>0.48512495373492809</v>
      </c>
      <c r="AD29" s="7">
        <f>Forecast!B5</f>
        <v>9.9879610529029522E-2</v>
      </c>
      <c r="AE29" s="7">
        <f>Forecast!C5</f>
        <v>0.46928161270584978</v>
      </c>
      <c r="AF29" s="7">
        <f>Forecast!D5</f>
        <v>4.7539251171181336</v>
      </c>
      <c r="AG29" s="7">
        <f>Forecast!E5</f>
        <v>0.16659457507969697</v>
      </c>
      <c r="AH29" s="7">
        <f>Forecast!F5</f>
        <v>1.063210755520313</v>
      </c>
      <c r="AI29" s="7">
        <f>Forecast!G5</f>
        <v>1.2504633465549659</v>
      </c>
      <c r="AJ29" s="7">
        <f>Forecast!H5</f>
        <v>4.763129178577865E-2</v>
      </c>
      <c r="AK29" s="7">
        <f>Forecast!I5</f>
        <v>0.99723302597390351</v>
      </c>
      <c r="AL29" s="7">
        <f>Forecast!J5</f>
        <v>0.92748751351003111</v>
      </c>
      <c r="AM29" s="7">
        <f>Forecast!K5</f>
        <v>0.41597363311598801</v>
      </c>
      <c r="AN29" s="7">
        <f>Forecast!L5</f>
        <v>0.16266245123653897</v>
      </c>
      <c r="AO29" s="7">
        <f>Forecast!M5</f>
        <v>0.15000845970062759</v>
      </c>
      <c r="AP29" s="7">
        <f>Forecast!N5</f>
        <v>0.15002504837781197</v>
      </c>
      <c r="AQ29" s="7">
        <f>Forecast!O5</f>
        <v>0.17757028948900125</v>
      </c>
      <c r="AR29" s="7">
        <f>Forecast!P5</f>
        <v>0.41149122670568783</v>
      </c>
      <c r="AS29" s="7">
        <f>Forecast!Q5</f>
        <v>0.40725765484115162</v>
      </c>
      <c r="AT29" s="7">
        <f>Forecast!R5</f>
        <v>4.2335718645362119E-3</v>
      </c>
      <c r="AU29" s="7">
        <f>Forecast!S5</f>
        <v>0.11298518307165659</v>
      </c>
      <c r="AV29" s="7">
        <f>Forecast!T5</f>
        <v>4.4824064103002135E-3</v>
      </c>
      <c r="AW29" s="7">
        <f>Forecast!U5</f>
        <v>-4.1454800077324105E-2</v>
      </c>
      <c r="AX29" s="9">
        <f>Forecast!V5</f>
        <v>0.87212024222699969</v>
      </c>
      <c r="AY29" s="9">
        <f>Forecast!W5</f>
        <v>0.3870270829028345</v>
      </c>
      <c r="AZ29" s="9">
        <f>Forecast!X5</f>
        <v>0.39123305356105204</v>
      </c>
      <c r="BA29" s="9">
        <f>Forecast!Y5</f>
        <v>4.2059706582175116E-3</v>
      </c>
      <c r="BB29" s="9">
        <f>Forecast!Z5</f>
        <v>2.328495136604251E-2</v>
      </c>
    </row>
    <row r="30" spans="1:54" dyDescent="0.5">
      <c r="A30" s="3">
        <v>2028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6"/>
      <c r="W30" s="6"/>
      <c r="X30" s="6"/>
      <c r="Y30" s="6"/>
      <c r="Z30" s="6"/>
      <c r="AA30" s="6"/>
      <c r="AC30" s="7">
        <f>Forecast!A6</f>
        <v>0.48447489098412211</v>
      </c>
      <c r="AD30" s="7">
        <f>Forecast!B6</f>
        <v>0.10012086349683449</v>
      </c>
      <c r="AE30" s="7">
        <f>Forecast!C6</f>
        <v>0.46965395415149164</v>
      </c>
      <c r="AF30" s="7">
        <f>Forecast!D6</f>
        <v>4.7437016742310298</v>
      </c>
      <c r="AG30" s="7">
        <f>Forecast!E6</f>
        <v>0.16790801289670662</v>
      </c>
      <c r="AH30" s="7">
        <f>Forecast!F6</f>
        <v>1.062973170930549</v>
      </c>
      <c r="AI30" s="7">
        <f>Forecast!G6</f>
        <v>1.2492165931252226</v>
      </c>
      <c r="AJ30" s="7">
        <f>Forecast!H6</f>
        <v>4.780766346271393E-2</v>
      </c>
      <c r="AK30" s="7">
        <f>Forecast!I6</f>
        <v>0.99773236512064412</v>
      </c>
      <c r="AL30" s="7">
        <f>Forecast!J6</f>
        <v>0.92515335563524292</v>
      </c>
      <c r="AM30" s="7">
        <f>Forecast!K6</f>
        <v>0.41556037024663972</v>
      </c>
      <c r="AN30" s="7">
        <f>Forecast!L6</f>
        <v>0.16226318021105404</v>
      </c>
      <c r="AO30" s="7">
        <f>Forecast!M6</f>
        <v>0.15000347541860057</v>
      </c>
      <c r="AP30" s="7">
        <f>Forecast!N6</f>
        <v>0.15001023517674594</v>
      </c>
      <c r="AQ30" s="7">
        <f>Forecast!O6</f>
        <v>0.17749756648049775</v>
      </c>
      <c r="AR30" s="7">
        <f>Forecast!P6</f>
        <v>0.41059026704972024</v>
      </c>
      <c r="AS30" s="7">
        <f>Forecast!Q6</f>
        <v>0.40635669788799605</v>
      </c>
      <c r="AT30" s="7">
        <f>Forecast!R6</f>
        <v>4.2335691617242221E-3</v>
      </c>
      <c r="AU30" s="7">
        <f>Forecast!S6</f>
        <v>0.11298515270315616</v>
      </c>
      <c r="AV30" s="7">
        <f>Forecast!T6</f>
        <v>4.9701031969194452E-3</v>
      </c>
      <c r="AW30" s="7">
        <f>Forecast!U6</f>
        <v>-4.1454800077324105E-2</v>
      </c>
      <c r="AX30" s="9">
        <f>Forecast!V6</f>
        <v>0.87012180567502861</v>
      </c>
      <c r="AY30" s="9">
        <f>Forecast!W6</f>
        <v>0.38626270197784124</v>
      </c>
      <c r="AZ30" s="9">
        <f>Forecast!X6</f>
        <v>0.39093089974175099</v>
      </c>
      <c r="BA30" s="9">
        <f>Forecast!Y6</f>
        <v>4.6681977639097417E-3</v>
      </c>
      <c r="BB30" s="9">
        <f>Forecast!Z6</f>
        <v>2.3375523001742372E-2</v>
      </c>
    </row>
    <row r="31" spans="1:54" dyDescent="0.5">
      <c r="A31" s="3">
        <v>2029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6"/>
      <c r="W31" s="6"/>
      <c r="X31" s="6"/>
      <c r="Y31" s="6"/>
      <c r="Z31" s="6"/>
      <c r="AA31" s="6"/>
      <c r="AC31" s="7">
        <f>Forecast!A7</f>
        <v>0.48380628719384822</v>
      </c>
      <c r="AD31" s="7">
        <f>Forecast!B7</f>
        <v>0.10032763157478103</v>
      </c>
      <c r="AE31" s="7">
        <f>Forecast!C7</f>
        <v>0.46999418298218781</v>
      </c>
      <c r="AF31" s="7">
        <f>Forecast!D7</f>
        <v>4.7348098306867321</v>
      </c>
      <c r="AG31" s="7">
        <f>Forecast!E7</f>
        <v>0.16885653578800378</v>
      </c>
      <c r="AH31" s="7">
        <f>Forecast!F7</f>
        <v>1.0627807901734467</v>
      </c>
      <c r="AI31" s="7">
        <f>Forecast!G7</f>
        <v>1.248106170314043</v>
      </c>
      <c r="AJ31" s="7">
        <f>Forecast!H7</f>
        <v>4.7960205228255698E-2</v>
      </c>
      <c r="AK31" s="7">
        <f>Forecast!I7</f>
        <v>0.99814159153733528</v>
      </c>
      <c r="AL31" s="7">
        <f>Forecast!J7</f>
        <v>0.92272782143074861</v>
      </c>
      <c r="AM31" s="7">
        <f>Forecast!K7</f>
        <v>0.41523616518435108</v>
      </c>
      <c r="AN31" s="7">
        <f>Forecast!L7</f>
        <v>0.16210455686346414</v>
      </c>
      <c r="AO31" s="7">
        <f>Forecast!M7</f>
        <v>0.15000142777327247</v>
      </c>
      <c r="AP31" s="7">
        <f>Forecast!N7</f>
        <v>0.15000418226057619</v>
      </c>
      <c r="AQ31" s="7">
        <f>Forecast!O7</f>
        <v>0.17738994576585562</v>
      </c>
      <c r="AR31" s="7">
        <f>Forecast!P7</f>
        <v>0.41011796719159466</v>
      </c>
      <c r="AS31" s="7">
        <f>Forecast!Q7</f>
        <v>0.40588439930050529</v>
      </c>
      <c r="AT31" s="7">
        <f>Forecast!R7</f>
        <v>4.2335678910893956E-3</v>
      </c>
      <c r="AU31" s="7">
        <f>Forecast!S7</f>
        <v>0.11298512220194064</v>
      </c>
      <c r="AV31" s="7">
        <f>Forecast!T7</f>
        <v>5.1181979927564566E-3</v>
      </c>
      <c r="AW31" s="7">
        <f>Forecast!U7</f>
        <v>-4.1454800077324105E-2</v>
      </c>
      <c r="AX31" s="9">
        <f>Forecast!V7</f>
        <v>0.86799765976217047</v>
      </c>
      <c r="AY31" s="9">
        <f>Forecast!W7</f>
        <v>0.38588680285794907</v>
      </c>
      <c r="AZ31" s="9">
        <f>Forecast!X7</f>
        <v>0.39069608830608776</v>
      </c>
      <c r="BA31" s="9">
        <f>Forecast!Y7</f>
        <v>4.8092854481387153E-3</v>
      </c>
      <c r="BB31" s="9">
        <f>Forecast!Z7</f>
        <v>2.341823292950199E-2</v>
      </c>
    </row>
    <row r="32" spans="1:54" dyDescent="0.5">
      <c r="A32" s="3">
        <v>2030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6"/>
      <c r="W32" s="6"/>
      <c r="X32" s="6"/>
      <c r="Y32" s="6"/>
      <c r="Z32" s="6"/>
      <c r="AA32" s="6"/>
      <c r="AC32" s="7">
        <f>Forecast!A8</f>
        <v>0.48316764713968291</v>
      </c>
      <c r="AD32" s="7">
        <f>Forecast!B8</f>
        <v>0.10050679499758021</v>
      </c>
      <c r="AE32" s="7">
        <f>Forecast!C8</f>
        <v>0.47030208064230494</v>
      </c>
      <c r="AF32" s="7">
        <f>Forecast!D8</f>
        <v>4.7269631038686191</v>
      </c>
      <c r="AG32" s="7">
        <f>Forecast!E8</f>
        <v>0.16956847161711303</v>
      </c>
      <c r="AH32" s="7">
        <f>Forecast!F8</f>
        <v>1.0626064975445861</v>
      </c>
      <c r="AI32" s="7">
        <f>Forecast!G8</f>
        <v>1.2471010430649532</v>
      </c>
      <c r="AJ32" s="7">
        <f>Forecast!H8</f>
        <v>4.8093428955035038E-2</v>
      </c>
      <c r="AK32" s="7">
        <f>Forecast!I8</f>
        <v>0.99847696732593694</v>
      </c>
      <c r="AL32" s="7">
        <f>Forecast!J8</f>
        <v>0.9203651802930799</v>
      </c>
      <c r="AM32" s="7">
        <f>Forecast!K8</f>
        <v>0.41495463403456856</v>
      </c>
      <c r="AN32" s="7">
        <f>Forecast!L8</f>
        <v>0.1620415386006937</v>
      </c>
      <c r="AO32" s="7">
        <f>Forecast!M8</f>
        <v>0.1500005865585565</v>
      </c>
      <c r="AP32" s="7">
        <f>Forecast!N8</f>
        <v>0.15000170894005657</v>
      </c>
      <c r="AQ32" s="7">
        <f>Forecast!O8</f>
        <v>0.17726961647723324</v>
      </c>
      <c r="AR32" s="7">
        <f>Forecast!P8</f>
        <v>0.40987037878779004</v>
      </c>
      <c r="AS32" s="7">
        <f>Forecast!Q8</f>
        <v>0.40563681149404623</v>
      </c>
      <c r="AT32" s="7">
        <f>Forecast!R8</f>
        <v>4.2335672937437912E-3</v>
      </c>
      <c r="AU32" s="7">
        <f>Forecast!S8</f>
        <v>0.11298509224627214</v>
      </c>
      <c r="AV32" s="7">
        <f>Forecast!T8</f>
        <v>5.0842552467785379E-3</v>
      </c>
      <c r="AW32" s="7">
        <f>Forecast!U8</f>
        <v>-4.1454800077324105E-2</v>
      </c>
      <c r="AX32" s="9">
        <f>Forecast!V8</f>
        <v>0.86591718163487308</v>
      </c>
      <c r="AY32" s="9">
        <f>Forecast!W8</f>
        <v>0.3857166039061084</v>
      </c>
      <c r="AZ32" s="9">
        <f>Forecast!X8</f>
        <v>0.39049487316861936</v>
      </c>
      <c r="BA32" s="9">
        <f>Forecast!Y8</f>
        <v>4.7782692625109417E-3</v>
      </c>
      <c r="BB32" s="9">
        <f>Forecast!Z8</f>
        <v>2.3435323131925524E-2</v>
      </c>
    </row>
    <row r="33" spans="1:54" dyDescent="0.5">
      <c r="A33" s="3">
        <v>2031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6"/>
      <c r="W33" s="6"/>
      <c r="X33" s="6"/>
      <c r="Y33" s="6"/>
      <c r="Z33" s="6"/>
      <c r="AA33" s="6"/>
      <c r="AC33" s="7">
        <f>Forecast!A9</f>
        <v>0.48257378209808649</v>
      </c>
      <c r="AD33" s="7">
        <f>Forecast!B9</f>
        <v>0.10066340723948237</v>
      </c>
      <c r="AE33" s="7">
        <f>Forecast!C9</f>
        <v>0.47057936897573699</v>
      </c>
      <c r="AF33" s="7">
        <f>Forecast!D9</f>
        <v>4.7199647898235737</v>
      </c>
      <c r="AG33" s="7">
        <f>Forecast!E9</f>
        <v>0.17012286443050323</v>
      </c>
      <c r="AH33" s="7">
        <f>Forecast!F9</f>
        <v>1.0624372348487341</v>
      </c>
      <c r="AI33" s="7">
        <f>Forecast!G9</f>
        <v>1.2461815066840083</v>
      </c>
      <c r="AJ33" s="7">
        <f>Forecast!H9</f>
        <v>4.8210673270023881E-2</v>
      </c>
      <c r="AK33" s="7">
        <f>Forecast!I9</f>
        <v>0.99875181986475814</v>
      </c>
      <c r="AL33" s="7">
        <f>Forecast!J9</f>
        <v>0.91814103467381014</v>
      </c>
      <c r="AM33" s="7">
        <f>Forecast!K9</f>
        <v>0.41469955783668649</v>
      </c>
      <c r="AN33" s="7">
        <f>Forecast!L9</f>
        <v>0.16201650255459493</v>
      </c>
      <c r="AO33" s="7">
        <f>Forecast!M9</f>
        <v>0.15000024097029047</v>
      </c>
      <c r="AP33" s="7">
        <f>Forecast!N9</f>
        <v>0.15000069830085039</v>
      </c>
      <c r="AQ33" s="7">
        <f>Forecast!O9</f>
        <v>0.17714870920531564</v>
      </c>
      <c r="AR33" s="7">
        <f>Forecast!P9</f>
        <v>0.40974058832014426</v>
      </c>
      <c r="AS33" s="7">
        <f>Forecast!Q9</f>
        <v>0.40550702130722216</v>
      </c>
      <c r="AT33" s="7">
        <f>Forecast!R9</f>
        <v>4.2335670129221388E-3</v>
      </c>
      <c r="AU33" s="7">
        <f>Forecast!S9</f>
        <v>0.11298506313223274</v>
      </c>
      <c r="AV33" s="7">
        <f>Forecast!T9</f>
        <v>4.9589695165422427E-3</v>
      </c>
      <c r="AW33" s="7">
        <f>Forecast!U9</f>
        <v>-4.1454800077324105E-2</v>
      </c>
      <c r="AX33" s="9">
        <f>Forecast!V9</f>
        <v>0.86396317693353297</v>
      </c>
      <c r="AY33" s="9">
        <f>Forecast!W9</f>
        <v>0.38565586476302827</v>
      </c>
      <c r="AZ33" s="9">
        <f>Forecast!X9</f>
        <v>0.39031678385164276</v>
      </c>
      <c r="BA33" s="9">
        <f>Forecast!Y9</f>
        <v>4.6609190886144789E-3</v>
      </c>
      <c r="BB33" s="9">
        <f>Forecast!Z9</f>
        <v>2.344007556247818E-2</v>
      </c>
    </row>
    <row r="34" spans="1:54" dyDescent="0.5">
      <c r="A34" s="3">
        <v>2032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6"/>
      <c r="W34" s="6"/>
      <c r="X34" s="6"/>
      <c r="Y34" s="6"/>
      <c r="Z34" s="6"/>
      <c r="AA34" s="6"/>
      <c r="AC34" s="7">
        <f>Forecast!A10</f>
        <v>0.48202681734597946</v>
      </c>
      <c r="AD34" s="7">
        <f>Forecast!B10</f>
        <v>0.1008012920586264</v>
      </c>
      <c r="AE34" s="7">
        <f>Forecast!C10</f>
        <v>0.47082868092686342</v>
      </c>
      <c r="AF34" s="7">
        <f>Forecast!D10</f>
        <v>4.7136741743550452</v>
      </c>
      <c r="AG34" s="7">
        <f>Forecast!E10</f>
        <v>0.17056833340975805</v>
      </c>
      <c r="AH34" s="7">
        <f>Forecast!F10</f>
        <v>1.062267700485763</v>
      </c>
      <c r="AI34" s="7">
        <f>Forecast!G10</f>
        <v>1.2453345239190976</v>
      </c>
      <c r="AJ34" s="7">
        <f>Forecast!H10</f>
        <v>4.8314502310777302E-2</v>
      </c>
      <c r="AK34" s="7">
        <f>Forecast!I10</f>
        <v>0.99897707142036796</v>
      </c>
      <c r="AL34" s="7">
        <f>Forecast!J10</f>
        <v>0.91608758420973357</v>
      </c>
      <c r="AM34" s="7">
        <f>Forecast!K10</f>
        <v>0.41446528783232911</v>
      </c>
      <c r="AN34" s="7">
        <f>Forecast!L10</f>
        <v>0.16200655617434412</v>
      </c>
      <c r="AO34" s="7">
        <f>Forecast!M10</f>
        <v>0.15000009899553973</v>
      </c>
      <c r="AP34" s="7">
        <f>Forecast!N10</f>
        <v>0.15000028533714554</v>
      </c>
      <c r="AQ34" s="7">
        <f>Forecast!O10</f>
        <v>0.17703348099431881</v>
      </c>
      <c r="AR34" s="7">
        <f>Forecast!P10</f>
        <v>0.40967254973002554</v>
      </c>
      <c r="AS34" s="7">
        <f>Forecast!Q10</f>
        <v>0.40543898284912211</v>
      </c>
      <c r="AT34" s="7">
        <f>Forecast!R10</f>
        <v>4.2335668809034216E-3</v>
      </c>
      <c r="AU34" s="7">
        <f>Forecast!S10</f>
        <v>0.1129850349770892</v>
      </c>
      <c r="AV34" s="7">
        <f>Forecast!T10</f>
        <v>4.7927381023036147E-3</v>
      </c>
      <c r="AW34" s="7">
        <f>Forecast!U10</f>
        <v>-4.1454800077324105E-2</v>
      </c>
      <c r="AX34" s="9">
        <f>Forecast!V10</f>
        <v>0.86217068673251707</v>
      </c>
      <c r="AY34" s="9">
        <f>Forecast!W10</f>
        <v>0.38565356996832256</v>
      </c>
      <c r="AZ34" s="9">
        <f>Forecast!X10</f>
        <v>0.39015845382373493</v>
      </c>
      <c r="BA34" s="9">
        <f>Forecast!Y10</f>
        <v>4.504883855412368E-3</v>
      </c>
      <c r="BB34" s="9">
        <f>Forecast!Z10</f>
        <v>2.343981888329098E-2</v>
      </c>
    </row>
    <row r="35" spans="1:54" dyDescent="0.5">
      <c r="A35" s="3">
        <v>2033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6"/>
      <c r="W35" s="6"/>
      <c r="X35" s="6"/>
      <c r="Y35" s="6"/>
      <c r="Z35" s="6"/>
      <c r="AA35" s="6"/>
      <c r="AC35" s="7">
        <f>Forecast!A11</f>
        <v>0.4815243984875035</v>
      </c>
      <c r="AD35" s="7">
        <f>Forecast!B11</f>
        <v>0.10092342357567999</v>
      </c>
      <c r="AE35" s="7">
        <f>Forecast!C11</f>
        <v>0.47105292751632899</v>
      </c>
      <c r="AF35" s="7">
        <f>Forecast!D11</f>
        <v>4.707986229880901</v>
      </c>
      <c r="AG35" s="7">
        <f>Forecast!E11</f>
        <v>0.17093529255265566</v>
      </c>
      <c r="AH35" s="7">
        <f>Forecast!F11</f>
        <v>1.0620965736681549</v>
      </c>
      <c r="AI35" s="7">
        <f>Forecast!G11</f>
        <v>1.2445509729915696</v>
      </c>
      <c r="AJ35" s="7">
        <f>Forecast!H11</f>
        <v>4.8406942878725254E-2</v>
      </c>
      <c r="AK35" s="7">
        <f>Forecast!I11</f>
        <v>0.99916167318363447</v>
      </c>
      <c r="AL35" s="7">
        <f>Forecast!J11</f>
        <v>0.91421395554500151</v>
      </c>
      <c r="AM35" s="7">
        <f>Forecast!K11</f>
        <v>0.41424961009960504</v>
      </c>
      <c r="AN35" s="7">
        <f>Forecast!L11</f>
        <v>0.16200260465261807</v>
      </c>
      <c r="AO35" s="7">
        <f>Forecast!M11</f>
        <v>0.15000004066939898</v>
      </c>
      <c r="AP35" s="7">
        <f>Forecast!N11</f>
        <v>0.15000011659342327</v>
      </c>
      <c r="AQ35" s="7">
        <f>Forecast!O11</f>
        <v>0.17692685522403787</v>
      </c>
      <c r="AR35" s="7">
        <f>Forecast!P11</f>
        <v>0.40963688262799558</v>
      </c>
      <c r="AS35" s="7">
        <f>Forecast!Q11</f>
        <v>0.40540331580915628</v>
      </c>
      <c r="AT35" s="7">
        <f>Forecast!R11</f>
        <v>4.2335668188393264E-3</v>
      </c>
      <c r="AU35" s="7">
        <f>Forecast!S11</f>
        <v>0.11298500781486594</v>
      </c>
      <c r="AV35" s="7">
        <f>Forecast!T11</f>
        <v>4.612727471609423E-3</v>
      </c>
      <c r="AW35" s="7">
        <f>Forecast!U11</f>
        <v>-4.1454800077324105E-2</v>
      </c>
      <c r="AX35" s="9">
        <f>Forecast!V11</f>
        <v>0.86054948461400016</v>
      </c>
      <c r="AY35" s="9">
        <f>Forecast!W11</f>
        <v>0.3856824429995887</v>
      </c>
      <c r="AZ35" s="9">
        <f>Forecast!X11</f>
        <v>0.390018282237028</v>
      </c>
      <c r="BA35" s="9">
        <f>Forecast!Y11</f>
        <v>4.3358392374392898E-3</v>
      </c>
      <c r="BB35" s="9">
        <f>Forecast!Z11</f>
        <v>2.343831428470905E-2</v>
      </c>
    </row>
    <row r="36" spans="1:54" dyDescent="0.5">
      <c r="A36" s="3">
        <v>2034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6"/>
      <c r="W36" s="6"/>
      <c r="X36" s="6"/>
      <c r="Y36" s="6"/>
      <c r="Z36" s="6"/>
      <c r="AA36" s="6"/>
      <c r="AC36" s="7">
        <f>Forecast!A12</f>
        <v>0.4810628477380865</v>
      </c>
      <c r="AD36" s="7">
        <f>Forecast!B12</f>
        <v>0.10103216889191755</v>
      </c>
      <c r="AE36" s="7">
        <f>Forecast!C12</f>
        <v>0.47125495552313701</v>
      </c>
      <c r="AF36" s="7">
        <f>Forecast!D12</f>
        <v>4.702819482381031</v>
      </c>
      <c r="AG36" s="7">
        <f>Forecast!E12</f>
        <v>0.1712433599961449</v>
      </c>
      <c r="AH36" s="7">
        <f>Forecast!F12</f>
        <v>1.0619243929995792</v>
      </c>
      <c r="AI36" s="7">
        <f>Forecast!G12</f>
        <v>1.2438240666407356</v>
      </c>
      <c r="AJ36" s="7">
        <f>Forecast!H12</f>
        <v>4.8489631537397347E-2</v>
      </c>
      <c r="AK36" s="7">
        <f>Forecast!I12</f>
        <v>0.99931296097789113</v>
      </c>
      <c r="AL36" s="7">
        <f>Forecast!J12</f>
        <v>0.91251753976896377</v>
      </c>
      <c r="AM36" s="7">
        <f>Forecast!K12</f>
        <v>0.41405128717053324</v>
      </c>
      <c r="AN36" s="7">
        <f>Forecast!L12</f>
        <v>0.16200103478261937</v>
      </c>
      <c r="AO36" s="7">
        <f>Forecast!M12</f>
        <v>0.15000001670782359</v>
      </c>
      <c r="AP36" s="7">
        <f>Forecast!N12</f>
        <v>0.15000004764197919</v>
      </c>
      <c r="AQ36" s="7">
        <f>Forecast!O12</f>
        <v>0.17682992300773123</v>
      </c>
      <c r="AR36" s="7">
        <f>Forecast!P12</f>
        <v>0.40961818526534766</v>
      </c>
      <c r="AS36" s="7">
        <f>Forecast!Q12</f>
        <v>0.40538461847568569</v>
      </c>
      <c r="AT36" s="7">
        <f>Forecast!R12</f>
        <v>4.2335667896620105E-3</v>
      </c>
      <c r="AU36" s="7">
        <f>Forecast!S12</f>
        <v>0.11298498164124461</v>
      </c>
      <c r="AV36" s="7">
        <f>Forecast!T12</f>
        <v>4.4331019051855897E-3</v>
      </c>
      <c r="AW36" s="7">
        <f>Forecast!U12</f>
        <v>-4.1454800077324105E-2</v>
      </c>
      <c r="AX36" s="9">
        <f>Forecast!V12</f>
        <v>0.85909663645690026</v>
      </c>
      <c r="AY36" s="9">
        <f>Forecast!W12</f>
        <v>0.38572773488585443</v>
      </c>
      <c r="AZ36" s="9">
        <f>Forecast!X12</f>
        <v>0.38989489969805735</v>
      </c>
      <c r="BA36" s="9">
        <f>Forecast!Y12</f>
        <v>4.1671648122028919E-3</v>
      </c>
      <c r="BB36" s="9">
        <f>Forecast!Z12</f>
        <v>2.3437318574919895E-2</v>
      </c>
    </row>
    <row r="37" spans="1:54" dyDescent="0.5">
      <c r="A37" s="3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6"/>
      <c r="W37" s="6"/>
      <c r="X37" s="6"/>
      <c r="Y37" s="6"/>
      <c r="Z37" s="6"/>
      <c r="AA37" s="6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8"/>
      <c r="AX37" s="8"/>
      <c r="AY37" s="8"/>
      <c r="AZ37" s="8"/>
      <c r="BA37" s="8"/>
      <c r="BB37" s="8"/>
    </row>
    <row r="38" spans="1:54" dyDescent="0.5">
      <c r="A38" s="3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6"/>
      <c r="W38" s="6"/>
      <c r="X38" s="6"/>
      <c r="Y38" s="6"/>
      <c r="Z38" s="6"/>
      <c r="AA38" s="6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8"/>
      <c r="AX38" s="8"/>
      <c r="AY38" s="8"/>
      <c r="AZ38" s="8"/>
      <c r="BA38" s="8"/>
      <c r="BB38" s="8"/>
    </row>
    <row r="39" spans="1:54" dyDescent="0.5">
      <c r="A39" s="3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6"/>
      <c r="W39" s="6"/>
      <c r="X39" s="6"/>
      <c r="Y39" s="6"/>
      <c r="Z39" s="6"/>
      <c r="AA39" s="6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8"/>
      <c r="AX39" s="8"/>
      <c r="AY39" s="8"/>
      <c r="AZ39" s="8"/>
      <c r="BA39" s="8"/>
      <c r="BB39" s="8"/>
    </row>
    <row r="40" spans="1:54" dyDescent="0.5">
      <c r="A40" s="3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6"/>
      <c r="W40" s="6"/>
      <c r="X40" s="6"/>
      <c r="Y40" s="6"/>
      <c r="Z40" s="6"/>
      <c r="AA40" s="6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8"/>
      <c r="AX40" s="8"/>
      <c r="AY40" s="8"/>
      <c r="AZ40" s="8"/>
      <c r="BA40" s="8"/>
      <c r="BB40" s="8"/>
    </row>
    <row r="41" spans="1:54" dyDescent="0.5">
      <c r="A41" s="3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6"/>
      <c r="W41" s="6"/>
      <c r="X41" s="6"/>
      <c r="Y41" s="6"/>
      <c r="Z41" s="6"/>
      <c r="AA41" s="6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8"/>
      <c r="AX41" s="8"/>
      <c r="AY41" s="8"/>
      <c r="AZ41" s="8"/>
      <c r="BA41" s="8"/>
      <c r="BB41" s="8"/>
    </row>
    <row r="42" spans="1:54" dyDescent="0.5">
      <c r="A42" s="3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6"/>
      <c r="W42" s="6"/>
      <c r="X42" s="6"/>
      <c r="Y42" s="6"/>
      <c r="Z42" s="6"/>
      <c r="AA42" s="6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8"/>
      <c r="AX42" s="8"/>
      <c r="AY42" s="8"/>
      <c r="AZ42" s="8"/>
      <c r="BA42" s="8"/>
      <c r="BB42" s="8"/>
    </row>
    <row r="43" spans="1:54" dyDescent="0.5">
      <c r="A43" s="3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6"/>
      <c r="W43" s="6"/>
      <c r="X43" s="6"/>
      <c r="Y43" s="6"/>
      <c r="Z43" s="6"/>
      <c r="AA43" s="6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8"/>
      <c r="AX43" s="8"/>
      <c r="AY43" s="8"/>
      <c r="AZ43" s="8"/>
      <c r="BA43" s="8"/>
      <c r="BB43" s="8"/>
    </row>
    <row r="44" spans="1:54" dyDescent="0.5">
      <c r="A44" s="3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6"/>
      <c r="W44" s="6"/>
      <c r="X44" s="6"/>
      <c r="Y44" s="6"/>
      <c r="Z44" s="6"/>
      <c r="AA44" s="6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8"/>
      <c r="AX44" s="8"/>
      <c r="AY44" s="8"/>
      <c r="AZ44" s="8"/>
      <c r="BA44" s="8"/>
      <c r="BB44" s="8"/>
    </row>
    <row r="45" spans="1:54" dyDescent="0.5">
      <c r="A45" s="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6"/>
      <c r="W45" s="6"/>
      <c r="X45" s="6"/>
      <c r="Y45" s="6"/>
      <c r="Z45" s="6"/>
      <c r="AA45" s="6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8"/>
      <c r="AX45" s="8"/>
      <c r="AY45" s="8"/>
      <c r="AZ45" s="8"/>
      <c r="BA45" s="8"/>
      <c r="BB45" s="8"/>
    </row>
    <row r="46" spans="1:54" dyDescent="0.5">
      <c r="A46" s="3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6"/>
      <c r="W46" s="6"/>
      <c r="X46" s="6"/>
      <c r="Y46" s="6"/>
      <c r="Z46" s="6"/>
      <c r="AA46" s="6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8"/>
      <c r="AX46" s="8"/>
      <c r="AY46" s="8"/>
      <c r="AZ46" s="8"/>
      <c r="BA46" s="8"/>
      <c r="BB46" s="8"/>
    </row>
    <row r="47" spans="1:54" dyDescent="0.5">
      <c r="A47" s="3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6"/>
      <c r="W47" s="6"/>
      <c r="X47" s="6"/>
      <c r="Y47" s="6"/>
      <c r="Z47" s="6"/>
      <c r="AA47" s="6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8"/>
      <c r="AX47" s="8"/>
      <c r="AY47" s="8"/>
      <c r="AZ47" s="8"/>
      <c r="BA47" s="8"/>
      <c r="BB47" s="8"/>
    </row>
    <row r="48" spans="1:54" dyDescent="0.5">
      <c r="A48" s="3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6"/>
      <c r="W48" s="6"/>
      <c r="X48" s="6"/>
      <c r="Y48" s="6"/>
      <c r="Z48" s="6"/>
      <c r="AA48" s="6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8"/>
      <c r="AX48" s="8"/>
      <c r="AY48" s="8"/>
      <c r="AZ48" s="8"/>
      <c r="BA48" s="8"/>
      <c r="BB48" s="8"/>
    </row>
    <row r="49" spans="1:54" dyDescent="0.5">
      <c r="A49" s="3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6"/>
      <c r="W49" s="6"/>
      <c r="X49" s="6"/>
      <c r="Y49" s="6"/>
      <c r="Z49" s="6"/>
      <c r="AA49" s="6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8"/>
      <c r="AX49" s="8"/>
      <c r="AY49" s="8"/>
      <c r="AZ49" s="8"/>
      <c r="BA49" s="8"/>
      <c r="BB49" s="8"/>
    </row>
    <row r="50" spans="1:54" dyDescent="0.5">
      <c r="A50" s="3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6"/>
      <c r="W50" s="6"/>
      <c r="X50" s="6"/>
      <c r="Y50" s="6"/>
      <c r="Z50" s="6"/>
      <c r="AA50" s="6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8"/>
      <c r="AX50" s="8"/>
      <c r="AY50" s="8"/>
      <c r="AZ50" s="8"/>
      <c r="BA50" s="8"/>
      <c r="BB50" s="8"/>
    </row>
    <row r="51" spans="1:54" dyDescent="0.5">
      <c r="A51" s="3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6"/>
      <c r="W51" s="6"/>
      <c r="X51" s="6"/>
      <c r="Y51" s="6"/>
      <c r="Z51" s="6"/>
      <c r="AA51" s="6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8"/>
      <c r="AX51" s="8"/>
      <c r="AY51" s="8"/>
      <c r="AZ51" s="8"/>
      <c r="BA51" s="8"/>
      <c r="BB51" s="8"/>
    </row>
    <row r="52" spans="1:54" dyDescent="0.5">
      <c r="A52" s="3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6"/>
      <c r="W52" s="6"/>
      <c r="X52" s="6"/>
      <c r="Y52" s="6"/>
      <c r="Z52" s="6"/>
      <c r="AA52" s="6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8"/>
      <c r="AX52" s="8"/>
      <c r="AY52" s="8"/>
      <c r="AZ52" s="8"/>
      <c r="BA52" s="8"/>
      <c r="BB52" s="8"/>
    </row>
    <row r="53" spans="1:54" dyDescent="0.5">
      <c r="A53" s="3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6"/>
      <c r="W53" s="6"/>
      <c r="X53" s="6"/>
      <c r="Y53" s="6"/>
      <c r="Z53" s="6"/>
      <c r="AA53" s="6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8"/>
      <c r="AX53" s="8"/>
      <c r="AY53" s="8"/>
      <c r="AZ53" s="8"/>
      <c r="BA53" s="8"/>
      <c r="BB53" s="8"/>
    </row>
    <row r="54" spans="1:54" dyDescent="0.5">
      <c r="A54" s="3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6"/>
      <c r="W54" s="6"/>
      <c r="X54" s="6"/>
      <c r="Y54" s="6"/>
      <c r="Z54" s="6"/>
      <c r="AA54" s="6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8"/>
      <c r="AX54" s="8"/>
      <c r="AY54" s="8"/>
      <c r="AZ54" s="8"/>
      <c r="BA54" s="8"/>
      <c r="BB54" s="8"/>
    </row>
    <row r="55" spans="1:54" dyDescent="0.5">
      <c r="A55" s="3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6"/>
      <c r="W55" s="6"/>
      <c r="X55" s="6"/>
      <c r="Y55" s="6"/>
      <c r="Z55" s="6"/>
      <c r="AA55" s="6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8"/>
      <c r="AX55" s="8"/>
      <c r="AY55" s="8"/>
      <c r="AZ55" s="8"/>
      <c r="BA55" s="8"/>
      <c r="BB55" s="8"/>
    </row>
    <row r="56" spans="1:54" dyDescent="0.5">
      <c r="A56" s="3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6"/>
      <c r="W56" s="6"/>
      <c r="X56" s="6"/>
      <c r="Y56" s="6"/>
      <c r="Z56" s="6"/>
      <c r="AA56" s="6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8"/>
      <c r="AX56" s="8"/>
      <c r="AY56" s="8"/>
      <c r="AZ56" s="8"/>
      <c r="BA56" s="8"/>
      <c r="BB56" s="8"/>
    </row>
    <row r="57" spans="1:54" dyDescent="0.5">
      <c r="A57" s="3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6"/>
      <c r="W57" s="6"/>
      <c r="X57" s="6"/>
      <c r="Y57" s="6"/>
      <c r="Z57" s="6"/>
      <c r="AA57" s="6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8"/>
      <c r="AX57" s="8"/>
      <c r="AY57" s="8"/>
      <c r="AZ57" s="8"/>
      <c r="BA57" s="8"/>
      <c r="BB57" s="8"/>
    </row>
    <row r="58" spans="1:54" dyDescent="0.5">
      <c r="A58" s="3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6"/>
      <c r="W58" s="6"/>
      <c r="X58" s="6"/>
      <c r="Y58" s="6"/>
      <c r="Z58" s="6"/>
      <c r="AA58" s="6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8"/>
      <c r="AX58" s="8"/>
      <c r="AY58" s="8"/>
      <c r="AZ58" s="8"/>
      <c r="BA58" s="8"/>
      <c r="BB58" s="8"/>
    </row>
    <row r="59" spans="1:54" dyDescent="0.5">
      <c r="A59" s="3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6"/>
      <c r="W59" s="6"/>
      <c r="X59" s="6"/>
      <c r="Y59" s="6"/>
      <c r="Z59" s="6"/>
      <c r="AA59" s="6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8"/>
      <c r="AX59" s="8"/>
      <c r="AY59" s="8"/>
      <c r="AZ59" s="8"/>
      <c r="BA59" s="8"/>
      <c r="BB59" s="8"/>
    </row>
    <row r="60" spans="1:54" dyDescent="0.5">
      <c r="A60" s="3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6"/>
      <c r="W60" s="6"/>
      <c r="X60" s="6"/>
      <c r="Y60" s="6"/>
      <c r="Z60" s="6"/>
      <c r="AA60" s="6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8"/>
      <c r="AX60" s="8"/>
      <c r="AY60" s="8"/>
      <c r="AZ60" s="8"/>
      <c r="BA60" s="8"/>
      <c r="BB60" s="8"/>
    </row>
    <row r="61" spans="1:54" dyDescent="0.5">
      <c r="A61" s="3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6"/>
      <c r="W61" s="6"/>
      <c r="X61" s="6"/>
      <c r="Y61" s="6"/>
      <c r="Z61" s="6"/>
      <c r="AA61" s="6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8"/>
      <c r="AX61" s="8"/>
      <c r="AY61" s="8"/>
      <c r="AZ61" s="8"/>
      <c r="BA61" s="8"/>
      <c r="BB61" s="8"/>
    </row>
    <row r="62" spans="1:54" dyDescent="0.5">
      <c r="A62" s="3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6"/>
      <c r="W62" s="6"/>
      <c r="X62" s="6"/>
      <c r="Y62" s="6"/>
      <c r="Z62" s="6"/>
      <c r="AA62" s="6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8"/>
      <c r="AX62" s="8"/>
      <c r="AY62" s="8"/>
      <c r="AZ62" s="8"/>
      <c r="BA62" s="8"/>
      <c r="BB62" s="8"/>
    </row>
    <row r="63" spans="1:54" dyDescent="0.5">
      <c r="A63" s="3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6"/>
      <c r="W63" s="6"/>
      <c r="X63" s="6"/>
      <c r="Y63" s="6"/>
      <c r="Z63" s="6"/>
      <c r="AA63" s="6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8"/>
      <c r="AX63" s="8"/>
      <c r="AY63" s="8"/>
      <c r="AZ63" s="8"/>
      <c r="BA63" s="8"/>
      <c r="BB63" s="8"/>
    </row>
    <row r="64" spans="1:54" dyDescent="0.5">
      <c r="A64" s="3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6"/>
      <c r="W64" s="6"/>
      <c r="X64" s="6"/>
      <c r="Y64" s="6"/>
      <c r="Z64" s="6"/>
      <c r="AA64" s="6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8"/>
      <c r="AX64" s="8"/>
      <c r="AY64" s="8"/>
      <c r="AZ64" s="8"/>
      <c r="BA64" s="8"/>
      <c r="BB64" s="8"/>
    </row>
    <row r="65" spans="1:54" dyDescent="0.5">
      <c r="A65" s="3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6"/>
      <c r="W65" s="6"/>
      <c r="X65" s="6"/>
      <c r="Y65" s="6"/>
      <c r="Z65" s="6"/>
      <c r="AA65" s="6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8"/>
      <c r="AX65" s="8"/>
      <c r="AY65" s="8"/>
      <c r="AZ65" s="8"/>
      <c r="BA65" s="8"/>
      <c r="BB65" s="8"/>
    </row>
    <row r="66" spans="1:54" dyDescent="0.5">
      <c r="A66" s="3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8"/>
      <c r="AX66" s="8"/>
      <c r="AY66" s="8"/>
      <c r="AZ66" s="8"/>
      <c r="BA66" s="8"/>
      <c r="BB66" s="8"/>
    </row>
    <row r="67" spans="1:54" dyDescent="0.5">
      <c r="A67" s="3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8"/>
      <c r="AX67" s="8"/>
      <c r="AY67" s="8"/>
      <c r="AZ67" s="8"/>
      <c r="BA67" s="8"/>
      <c r="BB67" s="8"/>
    </row>
    <row r="68" spans="1:54" dyDescent="0.5">
      <c r="A68" s="3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8"/>
      <c r="AX68" s="8"/>
      <c r="AY68" s="8"/>
      <c r="AZ68" s="8"/>
      <c r="BA68" s="8"/>
      <c r="BB68" s="8"/>
    </row>
    <row r="69" spans="1:54" dyDescent="0.5">
      <c r="A69" s="3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8"/>
      <c r="AX69" s="8"/>
      <c r="AY69" s="8"/>
      <c r="AZ69" s="8"/>
      <c r="BA69" s="8"/>
      <c r="BB69" s="8"/>
    </row>
    <row r="70" spans="1:54" dyDescent="0.5">
      <c r="A70" s="3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8"/>
      <c r="AX70" s="8"/>
      <c r="AY70" s="8"/>
      <c r="AZ70" s="8"/>
      <c r="BA70" s="8"/>
      <c r="BB70" s="8"/>
    </row>
    <row r="71" spans="1:54" dyDescent="0.5">
      <c r="A71" s="3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8"/>
      <c r="AX71" s="8"/>
      <c r="AY71" s="8"/>
      <c r="AZ71" s="8"/>
      <c r="BA71" s="8"/>
      <c r="BB71" s="8"/>
    </row>
    <row r="72" spans="1:54" dyDescent="0.5">
      <c r="A72" s="3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8"/>
      <c r="AX72" s="8"/>
      <c r="AY72" s="8"/>
      <c r="AZ72" s="8"/>
      <c r="BA72" s="8"/>
      <c r="BB72" s="8"/>
    </row>
    <row r="73" spans="1:54" dyDescent="0.5">
      <c r="A73" s="3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8"/>
      <c r="AX73" s="8"/>
      <c r="AY73" s="8"/>
      <c r="AZ73" s="8"/>
      <c r="BA73" s="8"/>
      <c r="BB73" s="8"/>
    </row>
    <row r="74" spans="1:54" dyDescent="0.5">
      <c r="A74" s="3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8"/>
      <c r="AX74" s="8"/>
      <c r="AY74" s="8"/>
      <c r="AZ74" s="8"/>
      <c r="BA74" s="8"/>
      <c r="BB74" s="8"/>
    </row>
    <row r="75" spans="1:54" dyDescent="0.5">
      <c r="A75" s="3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8"/>
      <c r="AX75" s="8"/>
      <c r="AY75" s="8"/>
      <c r="AZ75" s="8"/>
      <c r="BA75" s="8"/>
      <c r="BB75" s="8"/>
    </row>
    <row r="76" spans="1:54" dyDescent="0.5">
      <c r="A76" s="3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8"/>
      <c r="AX76" s="8"/>
      <c r="AY76" s="8"/>
      <c r="AZ76" s="8"/>
      <c r="BA76" s="8"/>
      <c r="BB76" s="8"/>
    </row>
    <row r="77" spans="1:54" dyDescent="0.5">
      <c r="A77" s="3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8"/>
      <c r="AX77" s="8"/>
      <c r="AY77" s="8"/>
      <c r="AZ77" s="8"/>
      <c r="BA77" s="8"/>
      <c r="BB77" s="8"/>
    </row>
    <row r="78" spans="1:54" dyDescent="0.5">
      <c r="A78" s="3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8"/>
      <c r="AX78" s="8"/>
      <c r="AY78" s="8"/>
      <c r="AZ78" s="8"/>
      <c r="BA78" s="8"/>
      <c r="BB78" s="8"/>
    </row>
    <row r="79" spans="1:54" dyDescent="0.5">
      <c r="A79" s="3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8"/>
      <c r="AX79" s="8"/>
      <c r="AY79" s="8"/>
      <c r="AZ79" s="8"/>
      <c r="BA79" s="8"/>
      <c r="BB79" s="8"/>
    </row>
    <row r="80" spans="1:54" dyDescent="0.5">
      <c r="A80" s="3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8"/>
      <c r="AX80" s="8"/>
      <c r="AY80" s="8"/>
      <c r="AZ80" s="8"/>
      <c r="BA80" s="8"/>
      <c r="BB80" s="8"/>
    </row>
    <row r="81" spans="1:54" dyDescent="0.5">
      <c r="A81" s="3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8"/>
      <c r="AX81" s="8"/>
      <c r="AY81" s="8"/>
      <c r="AZ81" s="8"/>
      <c r="BA81" s="8"/>
      <c r="BB81" s="8"/>
    </row>
    <row r="82" spans="1:54" dyDescent="0.5">
      <c r="A82" s="3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8"/>
      <c r="AX82" s="8"/>
      <c r="AY82" s="8"/>
      <c r="AZ82" s="8"/>
      <c r="BA82" s="8"/>
      <c r="BB82" s="8"/>
    </row>
    <row r="83" spans="1:54" dyDescent="0.5">
      <c r="A83" s="3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8"/>
      <c r="AX83" s="8"/>
      <c r="AY83" s="8"/>
      <c r="AZ83" s="8"/>
      <c r="BA83" s="8"/>
      <c r="BB83" s="8"/>
    </row>
    <row r="84" spans="1:54" dyDescent="0.5">
      <c r="A84" s="3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8"/>
      <c r="AX84" s="8"/>
      <c r="AY84" s="8"/>
      <c r="AZ84" s="8"/>
      <c r="BA84" s="8"/>
      <c r="BB84" s="8"/>
    </row>
    <row r="85" spans="1:54" dyDescent="0.5">
      <c r="A85" s="3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8"/>
      <c r="AX85" s="8"/>
      <c r="AY85" s="8"/>
      <c r="AZ85" s="8"/>
      <c r="BA85" s="8"/>
      <c r="BB85" s="8"/>
    </row>
    <row r="86" spans="1:54" dyDescent="0.5">
      <c r="A86" s="3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8"/>
      <c r="AX86" s="8"/>
      <c r="AY86" s="8"/>
      <c r="AZ86" s="8"/>
      <c r="BA86" s="8"/>
      <c r="BB86" s="8"/>
    </row>
    <row r="87" spans="1:54" dyDescent="0.5">
      <c r="A87" s="3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8"/>
      <c r="AX87" s="8"/>
      <c r="AY87" s="8"/>
      <c r="AZ87" s="8"/>
      <c r="BA87" s="8"/>
      <c r="BB87" s="8"/>
    </row>
    <row r="88" spans="1:54" dyDescent="0.5">
      <c r="A88" s="3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8"/>
      <c r="AX88" s="8"/>
      <c r="AY88" s="8"/>
      <c r="AZ88" s="8"/>
      <c r="BA88" s="8"/>
      <c r="BB88" s="8"/>
    </row>
    <row r="89" spans="1:54" dyDescent="0.5"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</row>
    <row r="90" spans="1:54" dyDescent="0.5"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</row>
    <row r="91" spans="1:54" dyDescent="0.5"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</row>
    <row r="92" spans="1:54" dyDescent="0.5"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</row>
    <row r="93" spans="1:54" dyDescent="0.5"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</row>
  </sheetData>
  <mergeCells count="2">
    <mergeCell ref="B1:AA1"/>
    <mergeCell ref="AC1:B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944B-A5C7-42A4-B013-CF91871D3DBF}">
  <sheetPr>
    <tabColor rgb="FF008080"/>
  </sheetPr>
  <dimension ref="A1:A1"/>
  <sheetViews>
    <sheetView showGridLines="0" tabSelected="1" workbookViewId="0">
      <selection activeCell="M11" sqref="M11"/>
    </sheetView>
  </sheetViews>
  <sheetFormatPr defaultColWidth="11" defaultRowHeight="15.75" x14ac:dyDescent="0.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cee2c6-2ed0-42b7-b786-aa214d83ac2f" xsi:nil="true"/>
    <lcf76f155ced4ddcb4097134ff3c332f xmlns="aa77b521-bb78-49ba-90b0-b4b8601caa3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791F2FF74FE647BEB7D66EDC6ACFB8" ma:contentTypeVersion="11" ma:contentTypeDescription="Crie um novo documento." ma:contentTypeScope="" ma:versionID="43d1b24c6b450c334cc46f9c1c3b3a07">
  <xsd:schema xmlns:xsd="http://www.w3.org/2001/XMLSchema" xmlns:xs="http://www.w3.org/2001/XMLSchema" xmlns:p="http://schemas.microsoft.com/office/2006/metadata/properties" xmlns:ns2="aa77b521-bb78-49ba-90b0-b4b8601caa35" xmlns:ns3="b2cee2c6-2ed0-42b7-b786-aa214d83ac2f" targetNamespace="http://schemas.microsoft.com/office/2006/metadata/properties" ma:root="true" ma:fieldsID="f691ad26d633cb14da9a01c3e2c042de" ns2:_="" ns3:_="">
    <xsd:import namespace="aa77b521-bb78-49ba-90b0-b4b8601caa35"/>
    <xsd:import namespace="b2cee2c6-2ed0-42b7-b786-aa214d83ac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7b521-bb78-49ba-90b0-b4b8601caa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a448f4b-15e7-4d22-b9c3-2e0136a08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ee2c6-2ed0-42b7-b786-aa214d83ac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685617-45f0-4794-9508-c6a13d45579a}" ma:internalName="TaxCatchAll" ma:showField="CatchAllData" ma:web="b2cee2c6-2ed0-42b7-b786-aa214d83ac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F8565D-06C4-4CD5-8474-E6974FAE5B50}">
  <ds:schemaRefs>
    <ds:schemaRef ds:uri="http://schemas.microsoft.com/office/2006/metadata/properties"/>
    <ds:schemaRef ds:uri="http://schemas.microsoft.com/office/infopath/2007/PartnerControls"/>
    <ds:schemaRef ds:uri="b2cee2c6-2ed0-42b7-b786-aa214d83ac2f"/>
    <ds:schemaRef ds:uri="aa77b521-bb78-49ba-90b0-b4b8601caa35"/>
  </ds:schemaRefs>
</ds:datastoreItem>
</file>

<file path=customXml/itemProps2.xml><?xml version="1.0" encoding="utf-8"?>
<ds:datastoreItem xmlns:ds="http://schemas.openxmlformats.org/officeDocument/2006/customXml" ds:itemID="{1B44EC7C-6A9B-4B56-98A8-A31CBB889E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574034-FC9D-4422-98DB-EEFBF899CA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77b521-bb78-49ba-90b0-b4b8601caa35"/>
    <ds:schemaRef ds:uri="b2cee2c6-2ed0-42b7-b786-aa214d83ac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</vt:lpstr>
      <vt:lpstr>Smooth</vt:lpstr>
      <vt:lpstr>Results</vt:lpstr>
      <vt:lpstr>Plots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XLSX.jl</dc:creator>
  <cp:keywords/>
  <dc:description/>
  <cp:lastModifiedBy>Eduardo Henrique Leitner</cp:lastModifiedBy>
  <cp:revision/>
  <dcterms:created xsi:type="dcterms:W3CDTF">2018-05-22T02:41:32Z</dcterms:created>
  <dcterms:modified xsi:type="dcterms:W3CDTF">2025-12-23T19:38:59Z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0x010100BB791F2FF74FE647BEB7D66EDC6ACFB8</vt:lpwstr>
  </property>
</Properties>
</file>