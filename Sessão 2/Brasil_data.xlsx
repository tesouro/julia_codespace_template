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https://tesouro-my.sharepoint.com/personal/poliana_pereira_tesouro_gov_br/Documents/FISLAC/Sessão 2/"/>
    </mc:Choice>
  </mc:AlternateContent>
  <xr:revisionPtr revIDLastSave="9" documentId="13_ncr:1_{621D9893-3ED6-1845-B468-78869179FDD3}" xr6:coauthVersionLast="47" xr6:coauthVersionMax="47" xr10:uidLastSave="{B932EFF9-4DF0-4B11-81FF-74BAD2441F85}"/>
  <bookViews>
    <workbookView xWindow="28680" yWindow="-120" windowWidth="20730" windowHeight="11040" activeTab="1" xr2:uid="{E249B7B2-CF9A-443B-A4DB-043BA13050F3}"/>
  </bookViews>
  <sheets>
    <sheet name="Hoja1" sheetId="2" r:id="rId1"/>
    <sheet name="nominal" sheetId="1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2" i="1" l="1"/>
  <c r="D3" i="2"/>
  <c r="E3" i="2"/>
  <c r="F3" i="2"/>
  <c r="G3" i="2"/>
  <c r="D4" i="2"/>
  <c r="E4" i="2"/>
  <c r="F4" i="2"/>
  <c r="G4" i="2"/>
  <c r="D5" i="2"/>
  <c r="E5" i="2"/>
  <c r="F5" i="2"/>
  <c r="G5" i="2"/>
  <c r="D6" i="2"/>
  <c r="E6" i="2"/>
  <c r="F6" i="2"/>
  <c r="G6" i="2"/>
  <c r="D7" i="2"/>
  <c r="E7" i="2"/>
  <c r="F7" i="2"/>
  <c r="G7" i="2"/>
  <c r="D8" i="2"/>
  <c r="E8" i="2"/>
  <c r="F8" i="2"/>
  <c r="G8" i="2"/>
  <c r="D9" i="2"/>
  <c r="E9" i="2"/>
  <c r="F9" i="2"/>
  <c r="G9" i="2"/>
  <c r="D10" i="2"/>
  <c r="E10" i="2"/>
  <c r="F10" i="2"/>
  <c r="G10" i="2"/>
  <c r="D11" i="2"/>
  <c r="E11" i="2"/>
  <c r="F11" i="2"/>
  <c r="G11" i="2"/>
  <c r="D12" i="2"/>
  <c r="E12" i="2"/>
  <c r="F12" i="2"/>
  <c r="G12" i="2"/>
  <c r="D13" i="2"/>
  <c r="E13" i="2"/>
  <c r="F13" i="2"/>
  <c r="G13" i="2"/>
  <c r="D14" i="2"/>
  <c r="E14" i="2"/>
  <c r="F14" i="2"/>
  <c r="G14" i="2"/>
  <c r="D15" i="2"/>
  <c r="E15" i="2"/>
  <c r="F15" i="2"/>
  <c r="G15" i="2"/>
  <c r="D16" i="2"/>
  <c r="E16" i="2"/>
  <c r="F16" i="2"/>
  <c r="G16" i="2"/>
  <c r="D17" i="2"/>
  <c r="E17" i="2"/>
  <c r="F17" i="2"/>
  <c r="G17" i="2"/>
  <c r="D18" i="2"/>
  <c r="E18" i="2"/>
  <c r="F18" i="2"/>
  <c r="G18" i="2"/>
  <c r="D19" i="2"/>
  <c r="E19" i="2"/>
  <c r="F19" i="2"/>
  <c r="G19" i="2"/>
  <c r="D20" i="2"/>
  <c r="E20" i="2"/>
  <c r="F20" i="2"/>
  <c r="G20" i="2"/>
  <c r="D21" i="2"/>
  <c r="E21" i="2"/>
  <c r="F21" i="2"/>
  <c r="G21" i="2"/>
  <c r="D22" i="2"/>
  <c r="E22" i="2"/>
  <c r="F22" i="2"/>
  <c r="G22" i="2"/>
  <c r="D23" i="2"/>
  <c r="E23" i="2"/>
  <c r="F23" i="2"/>
  <c r="G23" i="2"/>
  <c r="D24" i="2"/>
  <c r="E24" i="2"/>
  <c r="F24" i="2"/>
  <c r="G24" i="2"/>
  <c r="D25" i="2"/>
  <c r="E25" i="2"/>
  <c r="F25" i="2"/>
  <c r="G25" i="2"/>
  <c r="D26" i="2"/>
  <c r="E26" i="2"/>
  <c r="F26" i="2"/>
  <c r="G26" i="2"/>
  <c r="D27" i="2"/>
  <c r="E27" i="2"/>
  <c r="F27" i="2"/>
  <c r="G27" i="2"/>
  <c r="D28" i="2"/>
  <c r="E28" i="2"/>
  <c r="F28" i="2"/>
  <c r="G28" i="2"/>
  <c r="D29" i="2"/>
  <c r="E29" i="2"/>
  <c r="F29" i="2"/>
  <c r="G29" i="2"/>
  <c r="D30" i="2"/>
  <c r="E30" i="2"/>
  <c r="F30" i="2"/>
  <c r="G30" i="2"/>
  <c r="D31" i="2"/>
  <c r="E31" i="2"/>
  <c r="F31" i="2"/>
  <c r="G31" i="2"/>
  <c r="D32" i="2"/>
  <c r="E32" i="2"/>
  <c r="F32" i="2"/>
  <c r="G32" i="2"/>
  <c r="D33" i="2"/>
  <c r="E33" i="2"/>
  <c r="F33" i="2"/>
  <c r="G33" i="2"/>
  <c r="D34" i="2"/>
  <c r="E34" i="2"/>
  <c r="F34" i="2"/>
  <c r="G34" i="2"/>
  <c r="D35" i="2"/>
  <c r="E35" i="2"/>
  <c r="F35" i="2"/>
  <c r="G35" i="2"/>
  <c r="D36" i="2"/>
  <c r="E36" i="2"/>
  <c r="F36" i="2"/>
  <c r="G36" i="2"/>
  <c r="D37" i="2"/>
  <c r="E37" i="2"/>
  <c r="F37" i="2"/>
  <c r="G37" i="2"/>
  <c r="D38" i="2"/>
  <c r="E38" i="2"/>
  <c r="F38" i="2"/>
  <c r="G38" i="2"/>
  <c r="D39" i="2"/>
  <c r="E39" i="2"/>
  <c r="F39" i="2"/>
  <c r="G39" i="2"/>
  <c r="D40" i="2"/>
  <c r="E40" i="2"/>
  <c r="F40" i="2"/>
  <c r="G40" i="2"/>
  <c r="D41" i="2"/>
  <c r="E41" i="2"/>
  <c r="F41" i="2"/>
  <c r="G41" i="2"/>
  <c r="D42" i="2"/>
  <c r="E42" i="2"/>
  <c r="F42" i="2"/>
  <c r="G42" i="2"/>
  <c r="D43" i="2"/>
  <c r="E43" i="2"/>
  <c r="F43" i="2"/>
  <c r="G43" i="2"/>
  <c r="D44" i="2"/>
  <c r="E44" i="2"/>
  <c r="F44" i="2"/>
  <c r="G44" i="2"/>
  <c r="D45" i="2"/>
  <c r="E45" i="2"/>
  <c r="F45" i="2"/>
  <c r="G45" i="2"/>
  <c r="D46" i="2"/>
  <c r="E46" i="2"/>
  <c r="F46" i="2"/>
  <c r="G46" i="2"/>
  <c r="D47" i="2"/>
  <c r="E47" i="2"/>
  <c r="F47" i="2"/>
  <c r="G47" i="2"/>
  <c r="D48" i="2"/>
  <c r="E48" i="2"/>
  <c r="F48" i="2"/>
  <c r="G48" i="2"/>
  <c r="D49" i="2"/>
  <c r="E49" i="2"/>
  <c r="F49" i="2"/>
  <c r="G49" i="2"/>
  <c r="D50" i="2"/>
  <c r="E50" i="2"/>
  <c r="F50" i="2"/>
  <c r="G50" i="2"/>
  <c r="D51" i="2"/>
  <c r="E51" i="2"/>
  <c r="F51" i="2"/>
  <c r="G51" i="2"/>
  <c r="D52" i="2"/>
  <c r="E52" i="2"/>
  <c r="F52" i="2"/>
  <c r="G52" i="2"/>
  <c r="D53" i="2"/>
  <c r="E53" i="2"/>
  <c r="F53" i="2"/>
  <c r="G53" i="2"/>
  <c r="D54" i="2"/>
  <c r="E54" i="2"/>
  <c r="F54" i="2"/>
  <c r="G54" i="2"/>
  <c r="D55" i="2"/>
  <c r="E55" i="2"/>
  <c r="F55" i="2"/>
  <c r="G55" i="2"/>
  <c r="D56" i="2"/>
  <c r="E56" i="2"/>
  <c r="F56" i="2"/>
  <c r="G56" i="2"/>
  <c r="D57" i="2"/>
  <c r="E57" i="2"/>
  <c r="F57" i="2"/>
  <c r="G57" i="2"/>
  <c r="D58" i="2"/>
  <c r="E58" i="2"/>
  <c r="F58" i="2"/>
  <c r="G58" i="2"/>
  <c r="D59" i="2"/>
  <c r="E59" i="2"/>
  <c r="F59" i="2"/>
  <c r="G59" i="2"/>
  <c r="D60" i="2"/>
  <c r="E60" i="2"/>
  <c r="F60" i="2"/>
  <c r="G60" i="2"/>
  <c r="D61" i="2"/>
  <c r="E61" i="2"/>
  <c r="F61" i="2"/>
  <c r="G61" i="2"/>
  <c r="D62" i="2"/>
  <c r="E62" i="2"/>
  <c r="F62" i="2"/>
  <c r="G62" i="2"/>
  <c r="D63" i="2"/>
  <c r="E63" i="2"/>
  <c r="F63" i="2"/>
  <c r="G63" i="2"/>
  <c r="D64" i="2"/>
  <c r="E64" i="2"/>
  <c r="F64" i="2"/>
  <c r="G64" i="2"/>
  <c r="D65" i="2"/>
  <c r="E65" i="2"/>
  <c r="F65" i="2"/>
  <c r="G65" i="2"/>
  <c r="D66" i="2"/>
  <c r="E66" i="2"/>
  <c r="F66" i="2"/>
  <c r="G66" i="2"/>
  <c r="D67" i="2"/>
  <c r="E67" i="2"/>
  <c r="F67" i="2"/>
  <c r="G67" i="2"/>
  <c r="D68" i="2"/>
  <c r="E68" i="2"/>
  <c r="F68" i="2"/>
  <c r="G68" i="2"/>
  <c r="D69" i="2"/>
  <c r="E69" i="2"/>
  <c r="F69" i="2"/>
  <c r="G69" i="2"/>
  <c r="D70" i="2"/>
  <c r="E70" i="2"/>
  <c r="F70" i="2"/>
  <c r="G70" i="2"/>
  <c r="D71" i="2"/>
  <c r="E71" i="2"/>
  <c r="F71" i="2"/>
  <c r="G71" i="2"/>
  <c r="D72" i="2"/>
  <c r="E72" i="2"/>
  <c r="F72" i="2"/>
  <c r="G72" i="2"/>
  <c r="D73" i="2"/>
  <c r="E73" i="2"/>
  <c r="F73" i="2"/>
  <c r="G73" i="2"/>
  <c r="D74" i="2"/>
  <c r="E74" i="2"/>
  <c r="F74" i="2"/>
  <c r="G74" i="2"/>
  <c r="D75" i="2"/>
  <c r="E75" i="2"/>
  <c r="F75" i="2"/>
  <c r="G75" i="2"/>
  <c r="D76" i="2"/>
  <c r="E76" i="2"/>
  <c r="F76" i="2"/>
  <c r="G76" i="2"/>
  <c r="D77" i="2"/>
  <c r="E77" i="2"/>
  <c r="F77" i="2"/>
  <c r="G77" i="2"/>
  <c r="D78" i="2"/>
  <c r="E78" i="2"/>
  <c r="F78" i="2"/>
  <c r="G78" i="2"/>
  <c r="D79" i="2"/>
  <c r="E79" i="2"/>
  <c r="F79" i="2"/>
  <c r="G79" i="2"/>
  <c r="D80" i="2"/>
  <c r="E80" i="2"/>
  <c r="F80" i="2"/>
  <c r="G80" i="2"/>
  <c r="D81" i="2"/>
  <c r="E81" i="2"/>
  <c r="F81" i="2"/>
  <c r="G81" i="2"/>
  <c r="D82" i="2"/>
  <c r="E82" i="2"/>
  <c r="F82" i="2"/>
  <c r="G82" i="2"/>
  <c r="D83" i="2"/>
  <c r="E83" i="2"/>
  <c r="F83" i="2"/>
  <c r="G83" i="2"/>
  <c r="D84" i="2"/>
  <c r="E84" i="2"/>
  <c r="F84" i="2"/>
  <c r="G84" i="2"/>
  <c r="D85" i="2"/>
  <c r="E85" i="2"/>
  <c r="F85" i="2"/>
  <c r="G85" i="2"/>
  <c r="D86" i="2"/>
  <c r="E86" i="2"/>
  <c r="F86" i="2"/>
  <c r="G86" i="2"/>
  <c r="D87" i="2"/>
  <c r="E87" i="2"/>
  <c r="F87" i="2"/>
  <c r="G87" i="2"/>
  <c r="D88" i="2"/>
  <c r="E88" i="2"/>
  <c r="F88" i="2"/>
  <c r="G88" i="2"/>
  <c r="D89" i="2"/>
  <c r="E89" i="2"/>
  <c r="F89" i="2"/>
  <c r="G89" i="2"/>
  <c r="D90" i="2"/>
  <c r="E90" i="2"/>
  <c r="F90" i="2"/>
  <c r="G90" i="2"/>
  <c r="D91" i="2"/>
  <c r="E91" i="2"/>
  <c r="F91" i="2"/>
  <c r="G91" i="2"/>
  <c r="D92" i="2"/>
  <c r="E92" i="2"/>
  <c r="F92" i="2"/>
  <c r="G92" i="2"/>
  <c r="D93" i="2"/>
  <c r="E93" i="2"/>
  <c r="F93" i="2"/>
  <c r="G93" i="2"/>
  <c r="D94" i="2"/>
  <c r="E94" i="2"/>
  <c r="F94" i="2"/>
  <c r="G94" i="2"/>
  <c r="D95" i="2"/>
  <c r="E95" i="2"/>
  <c r="F95" i="2"/>
  <c r="G95" i="2"/>
  <c r="D96" i="2"/>
  <c r="E96" i="2"/>
  <c r="F96" i="2"/>
  <c r="G96" i="2"/>
  <c r="D97" i="2"/>
  <c r="E97" i="2"/>
  <c r="F97" i="2"/>
  <c r="G97" i="2"/>
  <c r="D98" i="2"/>
  <c r="E98" i="2"/>
  <c r="F98" i="2"/>
  <c r="G98" i="2"/>
  <c r="D99" i="2"/>
  <c r="E99" i="2"/>
  <c r="F99" i="2"/>
  <c r="G99" i="2"/>
  <c r="D100" i="2"/>
  <c r="E100" i="2"/>
  <c r="F100" i="2"/>
  <c r="G100" i="2"/>
  <c r="D101" i="2"/>
  <c r="E101" i="2"/>
  <c r="F101" i="2"/>
  <c r="G101" i="2"/>
  <c r="D102" i="2"/>
  <c r="E102" i="2"/>
  <c r="F102" i="2"/>
  <c r="G102" i="2"/>
  <c r="D103" i="2"/>
  <c r="E103" i="2"/>
  <c r="F103" i="2"/>
  <c r="G103" i="2"/>
  <c r="D104" i="2"/>
  <c r="E104" i="2"/>
  <c r="F104" i="2"/>
  <c r="G104" i="2"/>
  <c r="D105" i="2"/>
  <c r="E105" i="2"/>
  <c r="F105" i="2"/>
  <c r="G105" i="2"/>
  <c r="D106" i="2"/>
  <c r="E106" i="2"/>
  <c r="F106" i="2"/>
  <c r="G106" i="2"/>
  <c r="D107" i="2"/>
  <c r="E107" i="2"/>
  <c r="F107" i="2"/>
  <c r="G107" i="2"/>
  <c r="D108" i="2"/>
  <c r="E108" i="2"/>
  <c r="F108" i="2"/>
  <c r="G108" i="2"/>
  <c r="D109" i="2"/>
  <c r="E109" i="2"/>
  <c r="F109" i="2"/>
  <c r="G109" i="2"/>
  <c r="D110" i="2"/>
  <c r="E110" i="2"/>
  <c r="F110" i="2"/>
  <c r="G110" i="2"/>
  <c r="D111" i="2"/>
  <c r="E111" i="2"/>
  <c r="F111" i="2"/>
  <c r="G111" i="2"/>
  <c r="D112" i="2"/>
  <c r="E112" i="2"/>
  <c r="F112" i="2"/>
  <c r="G112" i="2"/>
  <c r="D113" i="2"/>
  <c r="E113" i="2"/>
  <c r="F113" i="2"/>
  <c r="G113" i="2"/>
  <c r="D114" i="2"/>
  <c r="E114" i="2"/>
  <c r="F114" i="2"/>
  <c r="G114" i="2"/>
  <c r="D115" i="2"/>
  <c r="E115" i="2"/>
  <c r="F115" i="2"/>
  <c r="G115" i="2"/>
  <c r="D116" i="2"/>
  <c r="E116" i="2"/>
  <c r="F116" i="2"/>
  <c r="G116" i="2"/>
  <c r="D117" i="2"/>
  <c r="E117" i="2"/>
  <c r="F117" i="2"/>
  <c r="G117" i="2"/>
  <c r="D118" i="2"/>
  <c r="E118" i="2"/>
  <c r="F118" i="2"/>
  <c r="G118" i="2"/>
  <c r="E2" i="2"/>
  <c r="F2" i="2"/>
  <c r="G2" i="2"/>
  <c r="D2" i="2"/>
  <c r="C3" i="2"/>
  <c r="C4" i="2"/>
  <c r="C5" i="2"/>
  <c r="C6" i="2"/>
  <c r="C7" i="2"/>
  <c r="C8" i="2"/>
  <c r="C9" i="2"/>
  <c r="C10" i="2"/>
  <c r="C11" i="2"/>
  <c r="C12" i="2"/>
  <c r="C13" i="2"/>
  <c r="C14" i="2"/>
  <c r="C15" i="2"/>
  <c r="C16" i="2"/>
  <c r="C17" i="2"/>
  <c r="C18" i="2"/>
  <c r="C19" i="2"/>
  <c r="C20" i="2"/>
  <c r="C21" i="2"/>
  <c r="C22" i="2"/>
  <c r="C23" i="2"/>
  <c r="C24" i="2"/>
  <c r="C25" i="2"/>
  <c r="C26" i="2"/>
  <c r="C27" i="2"/>
  <c r="C28" i="2"/>
  <c r="C29" i="2"/>
  <c r="C30" i="2"/>
  <c r="C31" i="2"/>
  <c r="C32" i="2"/>
  <c r="C33" i="2"/>
  <c r="C34" i="2"/>
  <c r="C35" i="2"/>
  <c r="C36" i="2"/>
  <c r="C37" i="2"/>
  <c r="C38" i="2"/>
  <c r="C39" i="2"/>
  <c r="C40" i="2"/>
  <c r="C41" i="2"/>
  <c r="C42" i="2"/>
  <c r="C43" i="2"/>
  <c r="C44" i="2"/>
  <c r="C45" i="2"/>
  <c r="C46" i="2"/>
  <c r="C47" i="2"/>
  <c r="C48" i="2"/>
  <c r="C49" i="2"/>
  <c r="C50" i="2"/>
  <c r="C51" i="2"/>
  <c r="C52" i="2"/>
  <c r="C53" i="2"/>
  <c r="C54" i="2"/>
  <c r="C55" i="2"/>
  <c r="C56" i="2"/>
  <c r="C57" i="2"/>
  <c r="C58" i="2"/>
  <c r="C59" i="2"/>
  <c r="C60" i="2"/>
  <c r="C61" i="2"/>
  <c r="C62" i="2"/>
  <c r="C63" i="2"/>
  <c r="C64" i="2"/>
  <c r="C65" i="2"/>
  <c r="C66" i="2"/>
  <c r="C67" i="2"/>
  <c r="C68" i="2"/>
  <c r="C69" i="2"/>
  <c r="C70" i="2"/>
  <c r="C71" i="2"/>
  <c r="C72" i="2"/>
  <c r="C73" i="2"/>
  <c r="C74" i="2"/>
  <c r="C75" i="2"/>
  <c r="C76" i="2"/>
  <c r="C77" i="2"/>
  <c r="C78" i="2"/>
  <c r="C79" i="2"/>
  <c r="C80" i="2"/>
  <c r="C81" i="2"/>
  <c r="C82" i="2"/>
  <c r="C83" i="2"/>
  <c r="C84" i="2"/>
  <c r="C85" i="2"/>
  <c r="C86" i="2"/>
  <c r="C87" i="2"/>
  <c r="C88" i="2"/>
  <c r="C89" i="2"/>
  <c r="C90" i="2"/>
  <c r="C91" i="2"/>
  <c r="C92" i="2"/>
  <c r="C93" i="2"/>
  <c r="C94" i="2"/>
  <c r="C95" i="2"/>
  <c r="C96" i="2"/>
  <c r="C97" i="2"/>
  <c r="C98" i="2"/>
  <c r="C99" i="2"/>
  <c r="C100" i="2"/>
  <c r="C101" i="2"/>
  <c r="C102" i="2"/>
  <c r="C103" i="2"/>
  <c r="C104" i="2"/>
  <c r="C105" i="2"/>
  <c r="C106" i="2"/>
  <c r="C107" i="2"/>
  <c r="C108" i="2"/>
  <c r="C109" i="2"/>
  <c r="C110" i="2"/>
  <c r="C111" i="2"/>
  <c r="C112" i="2"/>
  <c r="C113" i="2"/>
  <c r="C114" i="2"/>
  <c r="C115" i="2"/>
  <c r="C116" i="2"/>
  <c r="C117" i="2"/>
  <c r="C118" i="2"/>
  <c r="C2" i="2"/>
  <c r="B3" i="2"/>
  <c r="B4" i="2"/>
  <c r="B5" i="2"/>
  <c r="B6" i="2"/>
  <c r="B7" i="2"/>
  <c r="B8" i="2"/>
  <c r="B9" i="2"/>
  <c r="B10" i="2"/>
  <c r="B11" i="2"/>
  <c r="B12" i="2"/>
  <c r="B13" i="2"/>
  <c r="B14" i="2"/>
  <c r="B15" i="2"/>
  <c r="B16" i="2"/>
  <c r="B17" i="2"/>
  <c r="B18" i="2"/>
  <c r="B19" i="2"/>
  <c r="B20" i="2"/>
  <c r="B21" i="2"/>
  <c r="B22" i="2"/>
  <c r="B23" i="2"/>
  <c r="B24" i="2"/>
  <c r="B25" i="2"/>
  <c r="B26" i="2"/>
  <c r="B27" i="2"/>
  <c r="B28" i="2"/>
  <c r="B29" i="2"/>
  <c r="B30" i="2"/>
  <c r="B31" i="2"/>
  <c r="B32" i="2"/>
  <c r="B33" i="2"/>
  <c r="B34" i="2"/>
  <c r="B35" i="2"/>
  <c r="B36" i="2"/>
  <c r="B37" i="2"/>
  <c r="B38" i="2"/>
  <c r="B39" i="2"/>
  <c r="B40" i="2"/>
  <c r="B41" i="2"/>
  <c r="B42" i="2"/>
  <c r="B43" i="2"/>
  <c r="B44" i="2"/>
  <c r="B45" i="2"/>
  <c r="B46" i="2"/>
  <c r="B47" i="2"/>
  <c r="B48" i="2"/>
  <c r="B49" i="2"/>
  <c r="B50" i="2"/>
  <c r="B51" i="2"/>
  <c r="B52" i="2"/>
  <c r="B53" i="2"/>
  <c r="B54" i="2"/>
  <c r="B55" i="2"/>
  <c r="B56" i="2"/>
  <c r="B57" i="2"/>
  <c r="B58" i="2"/>
  <c r="B59" i="2"/>
  <c r="B60" i="2"/>
  <c r="B61" i="2"/>
  <c r="B62" i="2"/>
  <c r="B63" i="2"/>
  <c r="B64" i="2"/>
  <c r="B65" i="2"/>
  <c r="B66" i="2"/>
  <c r="B67" i="2"/>
  <c r="B68" i="2"/>
  <c r="B69" i="2"/>
  <c r="B70" i="2"/>
  <c r="B71" i="2"/>
  <c r="B72" i="2"/>
  <c r="B73" i="2"/>
  <c r="B74" i="2"/>
  <c r="B75" i="2"/>
  <c r="B76" i="2"/>
  <c r="B77" i="2"/>
  <c r="B78" i="2"/>
  <c r="B79" i="2"/>
  <c r="B80" i="2"/>
  <c r="B81" i="2"/>
  <c r="B82" i="2"/>
  <c r="B83" i="2"/>
  <c r="B84" i="2"/>
  <c r="B85" i="2"/>
  <c r="B86" i="2"/>
  <c r="B87" i="2"/>
  <c r="B88" i="2"/>
  <c r="B89" i="2"/>
  <c r="B90" i="2"/>
  <c r="B91" i="2"/>
  <c r="B92" i="2"/>
  <c r="B93" i="2"/>
  <c r="B94" i="2"/>
  <c r="B95" i="2"/>
  <c r="B96" i="2"/>
  <c r="B97" i="2"/>
  <c r="B98" i="2"/>
  <c r="B99" i="2"/>
  <c r="B100" i="2"/>
  <c r="B101" i="2"/>
  <c r="B102" i="2"/>
  <c r="B103" i="2"/>
  <c r="B104" i="2"/>
  <c r="B105" i="2"/>
  <c r="B106" i="2"/>
  <c r="B107" i="2"/>
  <c r="B108" i="2"/>
  <c r="B109" i="2"/>
  <c r="B110" i="2"/>
  <c r="B111" i="2"/>
  <c r="B112" i="2"/>
  <c r="B113" i="2"/>
  <c r="B114" i="2"/>
  <c r="B115" i="2"/>
  <c r="B116" i="2"/>
  <c r="B117" i="2"/>
  <c r="B118" i="2"/>
  <c r="B2" i="2"/>
  <c r="I3" i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I35" i="1"/>
  <c r="I36" i="1"/>
  <c r="I37" i="1"/>
  <c r="I38" i="1"/>
  <c r="I39" i="1"/>
  <c r="I40" i="1"/>
  <c r="I41" i="1"/>
  <c r="I42" i="1"/>
  <c r="I43" i="1"/>
  <c r="I44" i="1"/>
  <c r="I45" i="1"/>
  <c r="I46" i="1"/>
  <c r="I47" i="1"/>
  <c r="I48" i="1"/>
  <c r="I49" i="1"/>
  <c r="I50" i="1"/>
  <c r="I51" i="1"/>
  <c r="I52" i="1"/>
  <c r="I53" i="1"/>
  <c r="I54" i="1"/>
  <c r="I55" i="1"/>
  <c r="I56" i="1"/>
  <c r="I57" i="1"/>
  <c r="I58" i="1"/>
  <c r="I59" i="1"/>
  <c r="I60" i="1"/>
  <c r="I61" i="1"/>
  <c r="I62" i="1"/>
  <c r="I63" i="1"/>
  <c r="I64" i="1"/>
  <c r="I65" i="1"/>
  <c r="I66" i="1"/>
  <c r="I67" i="1"/>
  <c r="I68" i="1"/>
  <c r="I69" i="1"/>
  <c r="I70" i="1"/>
  <c r="I71" i="1"/>
  <c r="I72" i="1"/>
  <c r="I73" i="1"/>
  <c r="I74" i="1"/>
  <c r="I75" i="1"/>
  <c r="I76" i="1"/>
  <c r="I77" i="1"/>
  <c r="I78" i="1"/>
  <c r="I79" i="1"/>
  <c r="I80" i="1"/>
  <c r="I81" i="1"/>
  <c r="I82" i="1"/>
  <c r="I83" i="1"/>
  <c r="I84" i="1"/>
  <c r="I85" i="1"/>
  <c r="I86" i="1"/>
  <c r="I87" i="1"/>
  <c r="I88" i="1"/>
  <c r="I89" i="1"/>
  <c r="I90" i="1"/>
  <c r="I91" i="1"/>
  <c r="I92" i="1"/>
  <c r="I93" i="1"/>
  <c r="I94" i="1"/>
  <c r="I95" i="1"/>
  <c r="I96" i="1"/>
  <c r="I97" i="1"/>
  <c r="I98" i="1"/>
  <c r="I99" i="1"/>
  <c r="I100" i="1"/>
  <c r="I101" i="1"/>
  <c r="I102" i="1"/>
  <c r="I103" i="1"/>
  <c r="I104" i="1"/>
  <c r="I105" i="1"/>
  <c r="I106" i="1"/>
  <c r="I107" i="1"/>
  <c r="I108" i="1"/>
  <c r="I109" i="1"/>
  <c r="I110" i="1"/>
  <c r="I111" i="1"/>
  <c r="I112" i="1"/>
  <c r="I113" i="1"/>
  <c r="I114" i="1"/>
  <c r="I115" i="1"/>
  <c r="I116" i="1"/>
  <c r="I117" i="1"/>
  <c r="I118" i="1"/>
  <c r="G3" i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G36" i="1"/>
  <c r="G37" i="1"/>
  <c r="G38" i="1"/>
  <c r="G39" i="1"/>
  <c r="G40" i="1"/>
  <c r="G41" i="1"/>
  <c r="G42" i="1"/>
  <c r="G43" i="1"/>
  <c r="G44" i="1"/>
  <c r="G45" i="1"/>
  <c r="G46" i="1"/>
  <c r="G47" i="1"/>
  <c r="G48" i="1"/>
  <c r="G49" i="1"/>
  <c r="G50" i="1"/>
  <c r="G51" i="1"/>
  <c r="G52" i="1"/>
  <c r="G53" i="1"/>
  <c r="G54" i="1"/>
  <c r="G55" i="1"/>
  <c r="G56" i="1"/>
  <c r="G57" i="1"/>
  <c r="G58" i="1"/>
  <c r="G59" i="1"/>
  <c r="G60" i="1"/>
  <c r="G61" i="1"/>
  <c r="G62" i="1"/>
  <c r="G63" i="1"/>
  <c r="G64" i="1"/>
  <c r="G65" i="1"/>
  <c r="G66" i="1"/>
  <c r="G67" i="1"/>
  <c r="G68" i="1"/>
  <c r="G69" i="1"/>
  <c r="G70" i="1"/>
  <c r="G71" i="1"/>
  <c r="G72" i="1"/>
  <c r="G73" i="1"/>
  <c r="G74" i="1"/>
  <c r="G75" i="1"/>
  <c r="G76" i="1"/>
  <c r="G77" i="1"/>
  <c r="G78" i="1"/>
  <c r="G79" i="1"/>
  <c r="G80" i="1"/>
  <c r="G81" i="1"/>
  <c r="G82" i="1"/>
  <c r="G83" i="1"/>
  <c r="G84" i="1"/>
  <c r="G85" i="1"/>
  <c r="G86" i="1"/>
  <c r="G87" i="1"/>
  <c r="G88" i="1"/>
  <c r="G89" i="1"/>
  <c r="G90" i="1"/>
  <c r="G91" i="1"/>
  <c r="G92" i="1"/>
  <c r="G93" i="1"/>
  <c r="G94" i="1"/>
  <c r="G95" i="1"/>
  <c r="G96" i="1"/>
  <c r="G97" i="1"/>
  <c r="G98" i="1"/>
  <c r="G99" i="1"/>
  <c r="G100" i="1"/>
  <c r="G101" i="1"/>
  <c r="G102" i="1"/>
  <c r="G103" i="1"/>
  <c r="G104" i="1"/>
  <c r="G105" i="1"/>
  <c r="G106" i="1"/>
  <c r="G107" i="1"/>
  <c r="G108" i="1"/>
  <c r="G109" i="1"/>
  <c r="G110" i="1"/>
  <c r="G111" i="1"/>
  <c r="G112" i="1"/>
  <c r="G113" i="1"/>
  <c r="G114" i="1"/>
  <c r="G115" i="1"/>
  <c r="G116" i="1"/>
  <c r="G117" i="1"/>
  <c r="G118" i="1"/>
  <c r="G2" i="1"/>
</calcChain>
</file>

<file path=xl/sharedStrings.xml><?xml version="1.0" encoding="utf-8"?>
<sst xmlns="http://schemas.openxmlformats.org/spreadsheetml/2006/main" count="250" uniqueCount="127">
  <si>
    <t>year</t>
  </si>
  <si>
    <t>PIB</t>
  </si>
  <si>
    <t>C</t>
  </si>
  <si>
    <t>I</t>
  </si>
  <si>
    <t>G</t>
  </si>
  <si>
    <t>X</t>
  </si>
  <si>
    <t>M</t>
  </si>
  <si>
    <t>1996Q2</t>
  </si>
  <si>
    <t>1996Q3</t>
  </si>
  <si>
    <t>1996Q4</t>
  </si>
  <si>
    <t>1997Q1</t>
  </si>
  <si>
    <t>1997Q2</t>
  </si>
  <si>
    <t>1997Q3</t>
  </si>
  <si>
    <t>1997Q4</t>
  </si>
  <si>
    <t>1998Q1</t>
  </si>
  <si>
    <t>1998Q2</t>
  </si>
  <si>
    <t>1998Q3</t>
  </si>
  <si>
    <t>1998Q4</t>
  </si>
  <si>
    <t>1999Q1</t>
  </si>
  <si>
    <t>1999Q2</t>
  </si>
  <si>
    <t>1999Q3</t>
  </si>
  <si>
    <t>1999Q4</t>
  </si>
  <si>
    <t>2000Q1</t>
  </si>
  <si>
    <t>2000Q2</t>
  </si>
  <si>
    <t>2000Q3</t>
  </si>
  <si>
    <t>2000Q4</t>
  </si>
  <si>
    <t>2001Q1</t>
  </si>
  <si>
    <t>2001Q2</t>
  </si>
  <si>
    <t>2001Q3</t>
  </si>
  <si>
    <t>2001Q4</t>
  </si>
  <si>
    <t>2002Q1</t>
  </si>
  <si>
    <t>2002Q2</t>
  </si>
  <si>
    <t>2002Q3</t>
  </si>
  <si>
    <t>2002Q4</t>
  </si>
  <si>
    <t>2003Q1</t>
  </si>
  <si>
    <t>2003Q2</t>
  </si>
  <si>
    <t>2003Q3</t>
  </si>
  <si>
    <t>2003Q4</t>
  </si>
  <si>
    <t>2004Q1</t>
  </si>
  <si>
    <t>2004Q2</t>
  </si>
  <si>
    <t>2004Q3</t>
  </si>
  <si>
    <t>2004Q4</t>
  </si>
  <si>
    <t>2005Q1</t>
  </si>
  <si>
    <t>2005Q2</t>
  </si>
  <si>
    <t>2005Q3</t>
  </si>
  <si>
    <t>2005Q4</t>
  </si>
  <si>
    <t>2006Q1</t>
  </si>
  <si>
    <t>2006Q2</t>
  </si>
  <si>
    <t>2006Q3</t>
  </si>
  <si>
    <t>2006Q4</t>
  </si>
  <si>
    <t>2007Q1</t>
  </si>
  <si>
    <t>2007Q2</t>
  </si>
  <si>
    <t>2007Q3</t>
  </si>
  <si>
    <t>2007Q4</t>
  </si>
  <si>
    <t>2008Q1</t>
  </si>
  <si>
    <t>2008Q2</t>
  </si>
  <si>
    <t>2008Q3</t>
  </si>
  <si>
    <t>2008Q4</t>
  </si>
  <si>
    <t>2009Q1</t>
  </si>
  <si>
    <t>2009Q2</t>
  </si>
  <si>
    <t>2009Q3</t>
  </si>
  <si>
    <t>2009Q4</t>
  </si>
  <si>
    <t>2010Q1</t>
  </si>
  <si>
    <t>2010Q2</t>
  </si>
  <si>
    <t>2010Q3</t>
  </si>
  <si>
    <t>2010Q4</t>
  </si>
  <si>
    <t>2011Q1</t>
  </si>
  <si>
    <t>2011Q2</t>
  </si>
  <si>
    <t>2011Q3</t>
  </si>
  <si>
    <t>2011Q4</t>
  </si>
  <si>
    <t>2012Q1</t>
  </si>
  <si>
    <t>2012Q2</t>
  </si>
  <si>
    <t>2012Q3</t>
  </si>
  <si>
    <t>2012Q4</t>
  </si>
  <si>
    <t>2013Q1</t>
  </si>
  <si>
    <t>2013Q2</t>
  </si>
  <si>
    <t>2013Q3</t>
  </si>
  <si>
    <t>2013Q4</t>
  </si>
  <si>
    <t>2014Q1</t>
  </si>
  <si>
    <t>2014Q2</t>
  </si>
  <si>
    <t>2014Q3</t>
  </si>
  <si>
    <t>2014Q4</t>
  </si>
  <si>
    <t>2015Q1</t>
  </si>
  <si>
    <t>2015Q2</t>
  </si>
  <si>
    <t>2015Q3</t>
  </si>
  <si>
    <t>2015Q4</t>
  </si>
  <si>
    <t>2016Q1</t>
  </si>
  <si>
    <t>2016Q2</t>
  </si>
  <si>
    <t>2016Q3</t>
  </si>
  <si>
    <t>2016Q4</t>
  </si>
  <si>
    <t>2017Q1</t>
  </si>
  <si>
    <t>2017Q2</t>
  </si>
  <si>
    <t>2017Q3</t>
  </si>
  <si>
    <t>2017Q4</t>
  </si>
  <si>
    <t>2018Q1</t>
  </si>
  <si>
    <t>2018Q2</t>
  </si>
  <si>
    <t>2018Q3</t>
  </si>
  <si>
    <t>2018Q4</t>
  </si>
  <si>
    <t>2019Q1</t>
  </si>
  <si>
    <t>2019Q2</t>
  </si>
  <si>
    <t>2019Q3</t>
  </si>
  <si>
    <t>2019Q4</t>
  </si>
  <si>
    <t>2020Q1</t>
  </si>
  <si>
    <t>2020Q2</t>
  </si>
  <si>
    <t>2020Q3</t>
  </si>
  <si>
    <t>2020Q4</t>
  </si>
  <si>
    <t>2021Q1</t>
  </si>
  <si>
    <t>2021Q2</t>
  </si>
  <si>
    <t>2021Q3</t>
  </si>
  <si>
    <t>2021Q4</t>
  </si>
  <si>
    <t>2022Q1</t>
  </si>
  <si>
    <t>2022Q2</t>
  </si>
  <si>
    <t>2022Q3</t>
  </si>
  <si>
    <t>2022Q4</t>
  </si>
  <si>
    <t>2023Q1</t>
  </si>
  <si>
    <t>2023Q2</t>
  </si>
  <si>
    <t>2023Q3</t>
  </si>
  <si>
    <t>2023Q4</t>
  </si>
  <si>
    <t>2024Q1</t>
  </si>
  <si>
    <t>2024Q2</t>
  </si>
  <si>
    <t>2024Q3</t>
  </si>
  <si>
    <t>2024Q4</t>
  </si>
  <si>
    <t>2025Q1</t>
  </si>
  <si>
    <t>2025Q2</t>
  </si>
  <si>
    <t>PIB_real</t>
  </si>
  <si>
    <t>deflactor</t>
  </si>
  <si>
    <t>PIB_nom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</si>
</sst>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"/>
    <numFmt numFmtId="165" formatCode="0.0%"/>
  </numFmts>
  <fonts count="7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Segoe UI"/>
      <family val="2"/>
    </font>
    <font>
      <sz val="11"/>
      <name val="Calibri"/>
      <family val="2"/>
    </font>
    <font>
      <sz val="10"/>
      <color indexed="8"/>
      <name val="Arial"/>
      <family val="2"/>
    </font>
    <font>
      <sz val="10"/>
      <name val="Arial"/>
      <family val="2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4">
    <xf numFmtId="0" fontId="0" fillId="0" borderId="0"/>
    <xf numFmtId="9" fontId="1" fillId="0" borderId="0" applyFont="0" applyFill="0" applyBorder="0" applyAlignment="0" applyProtection="0"/>
    <xf numFmtId="0" fontId="4" fillId="0" borderId="0">
      <alignment vertical="top"/>
    </xf>
    <xf numFmtId="0" fontId="5" fillId="0" borderId="0"/>
  </cellStyleXfs>
  <cellXfs count="8">
    <xf numFmtId="0" fontId="0" fillId="0" borderId="0" xfId="0"/>
    <xf numFmtId="0" fontId="3" fillId="0" borderId="0" xfId="0" applyFont="1"/>
    <xf numFmtId="164" fontId="2" fillId="0" borderId="0" xfId="2" applyNumberFormat="1" applyFont="1" applyAlignment="1">
      <alignment vertical="center"/>
    </xf>
    <xf numFmtId="165" fontId="0" fillId="0" borderId="0" xfId="1" applyNumberFormat="1" applyFont="1"/>
    <xf numFmtId="164" fontId="0" fillId="0" borderId="0" xfId="0" applyNumberFormat="1"/>
    <xf numFmtId="0" fontId="0" fillId="0" borderId="0" xfId="0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0" fillId="0" borderId="1" xfId="0" applyBorder="1" applyAlignment="1">
      <alignment horizontal="center" vertical="center"/>
    </xf>
  </cellXfs>
  <cellStyles count="4">
    <cellStyle name="Normal" xfId="0" builtinId="0"/>
    <cellStyle name="Normal 2" xfId="3" xr:uid="{28C11A36-4979-46EF-A34A-65B25C5A1F83}"/>
    <cellStyle name="Normal_Cuadros de Salida CNT 2001-2006" xfId="2" xr:uid="{8EA38CA6-8DD5-483F-89A3-FFBCD3392201}"/>
    <cellStyle name="Porcentagem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55F06C-E2D8-8943-A073-DED6613477D6}">
  <dimension ref="A1:G118"/>
  <sheetViews>
    <sheetView workbookViewId="0">
      <selection activeCell="E19" sqref="E19"/>
    </sheetView>
  </sheetViews>
  <sheetFormatPr defaultColWidth="10.90625" defaultRowHeight="14.5" x14ac:dyDescent="0.35"/>
  <cols>
    <col min="2" max="2" width="15.6328125" customWidth="1"/>
    <col min="3" max="3" width="16.81640625" customWidth="1"/>
    <col min="4" max="4" width="15.90625" customWidth="1"/>
    <col min="5" max="5" width="15" customWidth="1"/>
    <col min="6" max="6" width="14.1796875" customWidth="1"/>
    <col min="7" max="7" width="14" customWidth="1"/>
    <col min="9" max="9" width="11.1796875" bestFit="1" customWidth="1"/>
  </cols>
  <sheetData>
    <row r="1" spans="1:7" x14ac:dyDescent="0.35">
      <c r="A1" s="1" t="s">
        <v>0</v>
      </c>
      <c r="B1" t="s">
        <v>1</v>
      </c>
      <c r="C1" t="s">
        <v>2</v>
      </c>
      <c r="D1" t="s">
        <v>3</v>
      </c>
      <c r="E1" t="s">
        <v>5</v>
      </c>
      <c r="F1" t="s">
        <v>6</v>
      </c>
      <c r="G1" s="3" t="s">
        <v>4</v>
      </c>
    </row>
    <row r="2" spans="1:7" ht="16" x14ac:dyDescent="0.35">
      <c r="A2" s="5" t="s">
        <v>7</v>
      </c>
      <c r="B2" s="2">
        <f>nominal!H2</f>
        <v>177690190000</v>
      </c>
      <c r="C2" s="2">
        <f>(nominal!C2/nominal!$I2)*100</f>
        <v>115076436589.87053</v>
      </c>
      <c r="D2" s="2">
        <f>(nominal!D2/nominal!$I2)*100</f>
        <v>34151851131.855083</v>
      </c>
      <c r="E2" s="2">
        <f>(nominal!E2/nominal!$I2)*100</f>
        <v>12658225654.730194</v>
      </c>
      <c r="F2" s="2">
        <f>(nominal!F2/nominal!$I2)*100</f>
        <v>15171460084.257444</v>
      </c>
      <c r="G2" s="2">
        <f>(nominal!G2/nominal!$I2)*100</f>
        <v>30975136707.801636</v>
      </c>
    </row>
    <row r="3" spans="1:7" ht="16" x14ac:dyDescent="0.35">
      <c r="A3" s="5" t="s">
        <v>8</v>
      </c>
      <c r="B3" s="2">
        <f>nominal!H3</f>
        <v>183826380000</v>
      </c>
      <c r="C3" s="2">
        <f>(nominal!C3/nominal!$I3)*100</f>
        <v>118387199478.31505</v>
      </c>
      <c r="D3" s="2">
        <f>(nominal!D3/nominal!$I3)*100</f>
        <v>34371440984.682617</v>
      </c>
      <c r="E3" s="2">
        <f>(nominal!E3/nominal!$I3)*100</f>
        <v>12912734118.539318</v>
      </c>
      <c r="F3" s="2">
        <f>(nominal!F3/nominal!$I3)*100</f>
        <v>17367461415.989132</v>
      </c>
      <c r="G3" s="2">
        <f>(nominal!G3/nominal!$I3)*100</f>
        <v>35522466834.452156</v>
      </c>
    </row>
    <row r="4" spans="1:7" ht="16" x14ac:dyDescent="0.35">
      <c r="A4" s="5" t="s">
        <v>9</v>
      </c>
      <c r="B4" s="2">
        <f>nominal!H4</f>
        <v>182476100000</v>
      </c>
      <c r="C4" s="2">
        <f>(nominal!C4/nominal!$I4)*100</f>
        <v>119014804779.87263</v>
      </c>
      <c r="D4" s="2">
        <f>(nominal!D4/nominal!$I4)*100</f>
        <v>32929663418.659847</v>
      </c>
      <c r="E4" s="2">
        <f>(nominal!E4/nominal!$I4)*100</f>
        <v>11502164370.53937</v>
      </c>
      <c r="F4" s="2">
        <f>(nominal!F4/nominal!$I4)*100</f>
        <v>17498387148.790722</v>
      </c>
      <c r="G4" s="2">
        <f>(nominal!G4/nominal!$I4)*100</f>
        <v>36527854579.718864</v>
      </c>
    </row>
    <row r="5" spans="1:7" ht="16" x14ac:dyDescent="0.35">
      <c r="A5" s="5" t="s">
        <v>10</v>
      </c>
      <c r="B5" s="2">
        <f>nominal!H5</f>
        <v>184315580000</v>
      </c>
      <c r="C5" s="2">
        <f>(nominal!C5/nominal!$I5)*100</f>
        <v>124332284800.54034</v>
      </c>
      <c r="D5" s="2">
        <f>(nominal!D5/nominal!$I5)*100</f>
        <v>35915617315.224281</v>
      </c>
      <c r="E5" s="2">
        <f>(nominal!E5/nominal!$I5)*100</f>
        <v>11071535590.392347</v>
      </c>
      <c r="F5" s="2">
        <f>(nominal!F5/nominal!$I5)*100</f>
        <v>16262421939.603043</v>
      </c>
      <c r="G5" s="2">
        <f>(nominal!G5/nominal!$I5)*100</f>
        <v>29258564233.446056</v>
      </c>
    </row>
    <row r="6" spans="1:7" ht="16" x14ac:dyDescent="0.35">
      <c r="A6" s="5" t="s">
        <v>11</v>
      </c>
      <c r="B6" s="2">
        <f>nominal!H6</f>
        <v>185312210000</v>
      </c>
      <c r="C6" s="2">
        <f>(nominal!C6/nominal!$I6)*100</f>
        <v>122894563518.69981</v>
      </c>
      <c r="D6" s="2">
        <f>(nominal!D6/nominal!$I6)*100</f>
        <v>36752911965.691963</v>
      </c>
      <c r="E6" s="2">
        <f>(nominal!E6/nominal!$I6)*100</f>
        <v>13846893719.867748</v>
      </c>
      <c r="F6" s="2">
        <f>(nominal!F6/nominal!$I6)*100</f>
        <v>17959107646.099014</v>
      </c>
      <c r="G6" s="2">
        <f>(nominal!G6/nominal!$I6)*100</f>
        <v>29776948441.839497</v>
      </c>
    </row>
    <row r="7" spans="1:7" ht="16" x14ac:dyDescent="0.35">
      <c r="A7" s="5" t="s">
        <v>12</v>
      </c>
      <c r="B7" s="2">
        <f>nominal!H7</f>
        <v>187328000000</v>
      </c>
      <c r="C7" s="2">
        <f>(nominal!C7/nominal!$I7)*100</f>
        <v>119923462470.2451</v>
      </c>
      <c r="D7" s="2">
        <f>(nominal!D7/nominal!$I7)*100</f>
        <v>35982821925.598549</v>
      </c>
      <c r="E7" s="2">
        <f>(nominal!E7/nominal!$I7)*100</f>
        <v>14099556061.061508</v>
      </c>
      <c r="F7" s="2">
        <f>(nominal!F7/nominal!$I7)*100</f>
        <v>19153754957.794765</v>
      </c>
      <c r="G7" s="2">
        <f>(nominal!G7/nominal!$I7)*100</f>
        <v>36475914500.889603</v>
      </c>
    </row>
    <row r="8" spans="1:7" ht="16" x14ac:dyDescent="0.35">
      <c r="A8" s="5" t="s">
        <v>13</v>
      </c>
      <c r="B8" s="2">
        <f>nominal!H8</f>
        <v>189258840000</v>
      </c>
      <c r="C8" s="2">
        <f>(nominal!C8/nominal!$I8)*100</f>
        <v>120719745153.12874</v>
      </c>
      <c r="D8" s="2">
        <f>(nominal!D8/nominal!$I8)*100</f>
        <v>34209170406.767918</v>
      </c>
      <c r="E8" s="2">
        <f>(nominal!E8/nominal!$I8)*100</f>
        <v>12968386864.011597</v>
      </c>
      <c r="F8" s="2">
        <f>(nominal!F8/nominal!$I8)*100</f>
        <v>18079562213.277462</v>
      </c>
      <c r="G8" s="2">
        <f>(nominal!G8/nominal!$I8)*100</f>
        <v>39441099789.369217</v>
      </c>
    </row>
    <row r="9" spans="1:7" ht="16" x14ac:dyDescent="0.35">
      <c r="A9" s="5" t="s">
        <v>14</v>
      </c>
      <c r="B9" s="2">
        <f>nominal!H9</f>
        <v>185483860000</v>
      </c>
      <c r="C9" s="2">
        <f>(nominal!C9/nominal!$I9)*100</f>
        <v>123631511353.70662</v>
      </c>
      <c r="D9" s="2">
        <f>(nominal!D9/nominal!$I9)*100</f>
        <v>35880783690.777725</v>
      </c>
      <c r="E9" s="2">
        <f>(nominal!E9/nominal!$I9)*100</f>
        <v>12669036882.066689</v>
      </c>
      <c r="F9" s="2">
        <f>(nominal!F9/nominal!$I9)*100</f>
        <v>17087736310.155666</v>
      </c>
      <c r="G9" s="2">
        <f>(nominal!G9/nominal!$I9)*100</f>
        <v>30390264383.604652</v>
      </c>
    </row>
    <row r="10" spans="1:7" ht="16" x14ac:dyDescent="0.35">
      <c r="A10" s="5" t="s">
        <v>15</v>
      </c>
      <c r="B10" s="2">
        <f>nominal!H10</f>
        <v>188535100000</v>
      </c>
      <c r="C10" s="2">
        <f>(nominal!C10/nominal!$I10)*100</f>
        <v>119132068102.21643</v>
      </c>
      <c r="D10" s="2">
        <f>(nominal!D10/nominal!$I10)*100</f>
        <v>36204193139.924423</v>
      </c>
      <c r="E10" s="2">
        <f>(nominal!E10/nominal!$I10)*100</f>
        <v>14072631761.637875</v>
      </c>
      <c r="F10" s="2">
        <f>(nominal!F10/nominal!$I10)*100</f>
        <v>17134112034.80249</v>
      </c>
      <c r="G10" s="2">
        <f>(nominal!G10/nominal!$I10)*100</f>
        <v>36260319031.02375</v>
      </c>
    </row>
    <row r="11" spans="1:7" ht="16" x14ac:dyDescent="0.35">
      <c r="A11" s="5" t="s">
        <v>16</v>
      </c>
      <c r="B11" s="2">
        <f>nominal!H11</f>
        <v>188372010000</v>
      </c>
      <c r="C11" s="2">
        <f>(nominal!C11/nominal!$I11)*100</f>
        <v>119316702714.16003</v>
      </c>
      <c r="D11" s="2">
        <f>(nominal!D11/nominal!$I11)*100</f>
        <v>34774394455.032692</v>
      </c>
      <c r="E11" s="2">
        <f>(nominal!E11/nominal!$I11)*100</f>
        <v>13713825137.128309</v>
      </c>
      <c r="F11" s="2">
        <f>(nominal!F11/nominal!$I11)*100</f>
        <v>18517240946.89645</v>
      </c>
      <c r="G11" s="2">
        <f>(nominal!G11/nominal!$I11)*100</f>
        <v>39084328640.575409</v>
      </c>
    </row>
    <row r="12" spans="1:7" ht="16" x14ac:dyDescent="0.35">
      <c r="A12" s="5" t="s">
        <v>17</v>
      </c>
      <c r="B12" s="2">
        <f>nominal!H12</f>
        <v>186485540000</v>
      </c>
      <c r="C12" s="2">
        <f>(nominal!C12/nominal!$I12)*100</f>
        <v>118564293652.10716</v>
      </c>
      <c r="D12" s="2">
        <f>(nominal!D12/nominal!$I12)*100</f>
        <v>32149322126.223843</v>
      </c>
      <c r="E12" s="2">
        <f>(nominal!E12/nominal!$I12)*100</f>
        <v>12192315636.515226</v>
      </c>
      <c r="F12" s="2">
        <f>(nominal!F12/nominal!$I12)*100</f>
        <v>17674171394.664764</v>
      </c>
      <c r="G12" s="2">
        <f>(nominal!G12/nominal!$I12)*100</f>
        <v>41253779979.81852</v>
      </c>
    </row>
    <row r="13" spans="1:7" ht="16" x14ac:dyDescent="0.35">
      <c r="A13" s="5" t="s">
        <v>18</v>
      </c>
      <c r="B13" s="2">
        <f>nominal!H13</f>
        <v>186749880000</v>
      </c>
      <c r="C13" s="2">
        <f>(nominal!C13/nominal!$I13)*100</f>
        <v>122846745347.7907</v>
      </c>
      <c r="D13" s="2">
        <f>(nominal!D13/nominal!$I13)*100</f>
        <v>32870535750.394947</v>
      </c>
      <c r="E13" s="2">
        <f>(nominal!E13/nominal!$I13)*100</f>
        <v>16504181194.408539</v>
      </c>
      <c r="F13" s="2">
        <f>(nominal!F13/nominal!$I13)*100</f>
        <v>19256243909.713249</v>
      </c>
      <c r="G13" s="2">
        <f>(nominal!G13/nominal!$I13)*100</f>
        <v>33784661617.119057</v>
      </c>
    </row>
    <row r="14" spans="1:7" ht="16" x14ac:dyDescent="0.35">
      <c r="A14" s="5" t="s">
        <v>19</v>
      </c>
      <c r="B14" s="2">
        <f>nominal!H14</f>
        <v>187541790000</v>
      </c>
      <c r="C14" s="2">
        <f>(nominal!C14/nominal!$I14)*100</f>
        <v>118825066637.44052</v>
      </c>
      <c r="D14" s="2">
        <f>(nominal!D14/nominal!$I14)*100</f>
        <v>32909096762.966633</v>
      </c>
      <c r="E14" s="2">
        <f>(nominal!E14/nominal!$I14)*100</f>
        <v>17258571105.247684</v>
      </c>
      <c r="F14" s="2">
        <f>(nominal!F14/nominal!$I14)*100</f>
        <v>20240853308.932713</v>
      </c>
      <c r="G14" s="2">
        <f>(nominal!G14/nominal!$I14)*100</f>
        <v>38789908803.277901</v>
      </c>
    </row>
    <row r="15" spans="1:7" ht="16" x14ac:dyDescent="0.35">
      <c r="A15" s="5" t="s">
        <v>20</v>
      </c>
      <c r="B15" s="2">
        <f>nominal!H15</f>
        <v>187757230000</v>
      </c>
      <c r="C15" s="2">
        <f>(nominal!C15/nominal!$I15)*100</f>
        <v>122473089212.7343</v>
      </c>
      <c r="D15" s="2">
        <f>(nominal!D15/nominal!$I15)*100</f>
        <v>31769126602.693653</v>
      </c>
      <c r="E15" s="2">
        <f>(nominal!E15/nominal!$I15)*100</f>
        <v>18935585754.652969</v>
      </c>
      <c r="F15" s="2">
        <f>(nominal!F15/nominal!$I15)*100</f>
        <v>22582840118.522141</v>
      </c>
      <c r="G15" s="2">
        <f>(nominal!G15/nominal!$I15)*100</f>
        <v>37162268548.441231</v>
      </c>
    </row>
    <row r="16" spans="1:7" ht="16" x14ac:dyDescent="0.35">
      <c r="A16" s="5" t="s">
        <v>21</v>
      </c>
      <c r="B16" s="2">
        <f>nominal!H16</f>
        <v>190334760000</v>
      </c>
      <c r="C16" s="2">
        <f>(nominal!C16/nominal!$I16)*100</f>
        <v>122644192074.17879</v>
      </c>
      <c r="D16" s="2">
        <f>(nominal!D16/nominal!$I16)*100</f>
        <v>30685631717.424404</v>
      </c>
      <c r="E16" s="2">
        <f>(nominal!E16/nominal!$I16)*100</f>
        <v>19091829937.867085</v>
      </c>
      <c r="F16" s="2">
        <f>(nominal!F16/nominal!$I16)*100</f>
        <v>23527893706.765278</v>
      </c>
      <c r="G16" s="2">
        <f>(nominal!G16/nominal!$I16)*100</f>
        <v>41440999977.294968</v>
      </c>
    </row>
    <row r="17" spans="1:7" ht="16" x14ac:dyDescent="0.35">
      <c r="A17" s="5" t="s">
        <v>22</v>
      </c>
      <c r="B17" s="2">
        <f>nominal!H17</f>
        <v>192373820000</v>
      </c>
      <c r="C17" s="2">
        <f>(nominal!C17/nominal!$I17)*100</f>
        <v>122279884827.04828</v>
      </c>
      <c r="D17" s="2">
        <f>(nominal!D17/nominal!$I17)*100</f>
        <v>39517885573.959923</v>
      </c>
      <c r="E17" s="2">
        <f>(nominal!E17/nominal!$I17)*100</f>
        <v>18340767045.611298</v>
      </c>
      <c r="F17" s="2">
        <f>(nominal!F17/nominal!$I17)*100</f>
        <v>21609205381.707092</v>
      </c>
      <c r="G17" s="2">
        <f>(nominal!G17/nominal!$I17)*100</f>
        <v>33844487935.087585</v>
      </c>
    </row>
    <row r="18" spans="1:7" ht="16" x14ac:dyDescent="0.35">
      <c r="A18" s="5" t="s">
        <v>23</v>
      </c>
      <c r="B18" s="2">
        <f>nominal!H18</f>
        <v>194949510000</v>
      </c>
      <c r="C18" s="2">
        <f>(nominal!C18/nominal!$I18)*100</f>
        <v>126506211305.616</v>
      </c>
      <c r="D18" s="2">
        <f>(nominal!D18/nominal!$I18)*100</f>
        <v>35895894427.761978</v>
      </c>
      <c r="E18" s="2">
        <f>(nominal!E18/nominal!$I18)*100</f>
        <v>20134220318.693668</v>
      </c>
      <c r="F18" s="2">
        <f>(nominal!F18/nominal!$I18)*100</f>
        <v>23292947167.858086</v>
      </c>
      <c r="G18" s="2">
        <f>(nominal!G18/nominal!$I18)*100</f>
        <v>35706131115.786453</v>
      </c>
    </row>
    <row r="19" spans="1:7" ht="16" x14ac:dyDescent="0.35">
      <c r="A19" s="5" t="s">
        <v>24</v>
      </c>
      <c r="B19" s="2">
        <f>nominal!H19</f>
        <v>197578770000</v>
      </c>
      <c r="C19" s="2">
        <f>(nominal!C19/nominal!$I19)*100</f>
        <v>127933430491.94553</v>
      </c>
      <c r="D19" s="2">
        <f>(nominal!D19/nominal!$I19)*100</f>
        <v>34462558753.852432</v>
      </c>
      <c r="E19" s="2">
        <f>(nominal!E19/nominal!$I19)*100</f>
        <v>21598984465.192173</v>
      </c>
      <c r="F19" s="2">
        <f>(nominal!F19/nominal!$I19)*100</f>
        <v>25684293449.413399</v>
      </c>
      <c r="G19" s="2">
        <f>(nominal!G19/nominal!$I19)*100</f>
        <v>39268089738.423294</v>
      </c>
    </row>
    <row r="20" spans="1:7" ht="16" x14ac:dyDescent="0.35">
      <c r="A20" s="5" t="s">
        <v>25</v>
      </c>
      <c r="B20" s="2">
        <f>nominal!H20</f>
        <v>199816420000</v>
      </c>
      <c r="C20" s="2">
        <f>(nominal!C20/nominal!$I20)*100</f>
        <v>129993119264.66782</v>
      </c>
      <c r="D20" s="2">
        <f>(nominal!D20/nominal!$I20)*100</f>
        <v>34174062726.401882</v>
      </c>
      <c r="E20" s="2">
        <f>(nominal!E20/nominal!$I20)*100</f>
        <v>19799520825.009911</v>
      </c>
      <c r="F20" s="2">
        <f>(nominal!F20/nominal!$I20)*100</f>
        <v>26848688933.322102</v>
      </c>
      <c r="G20" s="2">
        <f>(nominal!G20/nominal!$I20)*100</f>
        <v>42698406117.242523</v>
      </c>
    </row>
    <row r="21" spans="1:7" ht="16" x14ac:dyDescent="0.35">
      <c r="A21" s="5" t="s">
        <v>26</v>
      </c>
      <c r="B21" s="2">
        <f>nominal!H21</f>
        <v>200362680000</v>
      </c>
      <c r="C21" s="2">
        <f>(nominal!C21/nominal!$I21)*100</f>
        <v>130404704032.1311</v>
      </c>
      <c r="D21" s="2">
        <f>(nominal!D21/nominal!$I21)*100</f>
        <v>39556352182.673538</v>
      </c>
      <c r="E21" s="2">
        <f>(nominal!E21/nominal!$I21)*100</f>
        <v>21529674348.513458</v>
      </c>
      <c r="F21" s="2">
        <f>(nominal!F21/nominal!$I21)*100</f>
        <v>27509711963.900536</v>
      </c>
      <c r="G21" s="2">
        <f>(nominal!G21/nominal!$I21)*100</f>
        <v>36381661400.582458</v>
      </c>
    </row>
    <row r="22" spans="1:7" ht="16" x14ac:dyDescent="0.35">
      <c r="A22" s="5" t="s">
        <v>27</v>
      </c>
      <c r="B22" s="2">
        <f>nominal!H22</f>
        <v>199602420000</v>
      </c>
      <c r="C22" s="2">
        <f>(nominal!C22/nominal!$I22)*100</f>
        <v>129657347886.71832</v>
      </c>
      <c r="D22" s="2">
        <f>(nominal!D22/nominal!$I22)*100</f>
        <v>38269400483.560074</v>
      </c>
      <c r="E22" s="2">
        <f>(nominal!E22/nominal!$I22)*100</f>
        <v>25179362745.857586</v>
      </c>
      <c r="F22" s="2">
        <f>(nominal!F22/nominal!$I22)*100</f>
        <v>29951708110.427402</v>
      </c>
      <c r="G22" s="2">
        <f>(nominal!G22/nominal!$I22)*100</f>
        <v>36448016994.291435</v>
      </c>
    </row>
    <row r="23" spans="1:7" ht="16" x14ac:dyDescent="0.35">
      <c r="A23" s="5" t="s">
        <v>28</v>
      </c>
      <c r="B23" s="2">
        <f>nominal!H23</f>
        <v>198687480000</v>
      </c>
      <c r="C23" s="2">
        <f>(nominal!C23/nominal!$I23)*100</f>
        <v>126365677049.71671</v>
      </c>
      <c r="D23" s="2">
        <f>(nominal!D23/nominal!$I23)*100</f>
        <v>36105930260.55262</v>
      </c>
      <c r="E23" s="2">
        <f>(nominal!E23/nominal!$I23)*100</f>
        <v>27306950847.096752</v>
      </c>
      <c r="F23" s="2">
        <f>(nominal!F23/nominal!$I23)*100</f>
        <v>30785672709.458565</v>
      </c>
      <c r="G23" s="2">
        <f>(nominal!G23/nominal!$I23)*100</f>
        <v>39694594552.092484</v>
      </c>
    </row>
    <row r="24" spans="1:7" ht="16" x14ac:dyDescent="0.35">
      <c r="A24" s="5" t="s">
        <v>29</v>
      </c>
      <c r="B24" s="2">
        <f>nominal!H24</f>
        <v>197796930000</v>
      </c>
      <c r="C24" s="2">
        <f>(nominal!C24/nominal!$I24)*100</f>
        <v>124457071642.47144</v>
      </c>
      <c r="D24" s="2">
        <f>(nominal!D24/nominal!$I24)*100</f>
        <v>33144741700.591862</v>
      </c>
      <c r="E24" s="2">
        <f>(nominal!E24/nominal!$I24)*100</f>
        <v>24318379002.616425</v>
      </c>
      <c r="F24" s="2">
        <f>(nominal!F24/nominal!$I24)*100</f>
        <v>27718745776.226234</v>
      </c>
      <c r="G24" s="2">
        <f>(nominal!G24/nominal!$I24)*100</f>
        <v>43595483430.546509</v>
      </c>
    </row>
    <row r="25" spans="1:7" ht="16" x14ac:dyDescent="0.35">
      <c r="A25" s="5" t="s">
        <v>30</v>
      </c>
      <c r="B25" s="2">
        <f>nominal!H25</f>
        <v>202810680000</v>
      </c>
      <c r="C25" s="2">
        <f>(nominal!C25/nominal!$I25)*100</f>
        <v>127928267997.79141</v>
      </c>
      <c r="D25" s="2">
        <f>(nominal!D25/nominal!$I25)*100</f>
        <v>37212501330.94944</v>
      </c>
      <c r="E25" s="2">
        <f>(nominal!E25/nominal!$I25)*100</f>
        <v>20626080252.41238</v>
      </c>
      <c r="F25" s="2">
        <f>(nominal!F25/nominal!$I25)*100</f>
        <v>22950454400.126205</v>
      </c>
      <c r="G25" s="2">
        <f>(nominal!G25/nominal!$I25)*100</f>
        <v>39994284818.973</v>
      </c>
    </row>
    <row r="26" spans="1:7" ht="16" x14ac:dyDescent="0.35">
      <c r="A26" s="5" t="s">
        <v>31</v>
      </c>
      <c r="B26" s="2">
        <f>nominal!H26</f>
        <v>203497950000</v>
      </c>
      <c r="C26" s="2">
        <f>(nominal!C26/nominal!$I26)*100</f>
        <v>125077983134.39296</v>
      </c>
      <c r="D26" s="2">
        <f>(nominal!D26/nominal!$I26)*100</f>
        <v>36321450672.903915</v>
      </c>
      <c r="E26" s="2">
        <f>(nominal!E26/nominal!$I26)*100</f>
        <v>21546144448.951035</v>
      </c>
      <c r="F26" s="2">
        <f>(nominal!F26/nominal!$I26)*100</f>
        <v>23400743678.051411</v>
      </c>
      <c r="G26" s="2">
        <f>(nominal!G26/nominal!$I26)*100</f>
        <v>43953115421.803505</v>
      </c>
    </row>
    <row r="27" spans="1:7" ht="16" x14ac:dyDescent="0.35">
      <c r="A27" s="5" t="s">
        <v>32</v>
      </c>
      <c r="B27" s="2">
        <f>nominal!H27</f>
        <v>206108180000</v>
      </c>
      <c r="C27" s="2">
        <f>(nominal!C27/nominal!$I27)*100</f>
        <v>126800528700.74646</v>
      </c>
      <c r="D27" s="2">
        <f>(nominal!D27/nominal!$I27)*100</f>
        <v>36854668229.334244</v>
      </c>
      <c r="E27" s="2">
        <f>(nominal!E27/nominal!$I27)*100</f>
        <v>35759534519.727745</v>
      </c>
      <c r="F27" s="2">
        <f>(nominal!F27/nominal!$I27)*100</f>
        <v>30489000036.230068</v>
      </c>
      <c r="G27" s="2">
        <f>(nominal!G27/nominal!$I27)*100</f>
        <v>37182448586.421623</v>
      </c>
    </row>
    <row r="28" spans="1:7" ht="16" x14ac:dyDescent="0.35">
      <c r="A28" s="5" t="s">
        <v>33</v>
      </c>
      <c r="B28" s="2">
        <f>nominal!H28</f>
        <v>208117360000</v>
      </c>
      <c r="C28" s="2">
        <f>(nominal!C28/nominal!$I28)*100</f>
        <v>128295599777.42886</v>
      </c>
      <c r="D28" s="2">
        <f>(nominal!D28/nominal!$I28)*100</f>
        <v>36791983498.884392</v>
      </c>
      <c r="E28" s="2">
        <f>(nominal!E28/nominal!$I28)*100</f>
        <v>37660240121.202103</v>
      </c>
      <c r="F28" s="2">
        <f>(nominal!F28/nominal!$I28)*100</f>
        <v>32392330194.19883</v>
      </c>
      <c r="G28" s="2">
        <f>(nominal!G28/nominal!$I28)*100</f>
        <v>37761866796.683472</v>
      </c>
    </row>
    <row r="29" spans="1:7" ht="16" x14ac:dyDescent="0.35">
      <c r="A29" s="5" t="s">
        <v>34</v>
      </c>
      <c r="B29" s="2">
        <f>nominal!H29</f>
        <v>207387100000</v>
      </c>
      <c r="C29" s="2">
        <f>(nominal!C29/nominal!$I29)*100</f>
        <v>134396856141.09285</v>
      </c>
      <c r="D29" s="2">
        <f>(nominal!D29/nominal!$I29)*100</f>
        <v>36681499992.951408</v>
      </c>
      <c r="E29" s="2">
        <f>(nominal!E29/nominal!$I29)*100</f>
        <v>32906430589.162277</v>
      </c>
      <c r="F29" s="2">
        <f>(nominal!F29/nominal!$I29)*100</f>
        <v>30288262554.311985</v>
      </c>
      <c r="G29" s="2">
        <f>(nominal!G29/nominal!$I29)*100</f>
        <v>33690575831.105476</v>
      </c>
    </row>
    <row r="30" spans="1:7" ht="16" x14ac:dyDescent="0.35">
      <c r="A30" s="5" t="s">
        <v>35</v>
      </c>
      <c r="B30" s="2">
        <f>nominal!H30</f>
        <v>205691230000</v>
      </c>
      <c r="C30" s="2">
        <f>(nominal!C30/nominal!$I30)*100</f>
        <v>127776509225.1311</v>
      </c>
      <c r="D30" s="2">
        <f>(nominal!D30/nominal!$I30)*100</f>
        <v>33724589870.521046</v>
      </c>
      <c r="E30" s="2">
        <f>(nominal!E30/nominal!$I30)*100</f>
        <v>30516885343.125206</v>
      </c>
      <c r="F30" s="2">
        <f>(nominal!F30/nominal!$I30)*100</f>
        <v>25760803087.017025</v>
      </c>
      <c r="G30" s="2">
        <f>(nominal!G30/nominal!$I30)*100</f>
        <v>39434048648.239693</v>
      </c>
    </row>
    <row r="31" spans="1:7" ht="16" x14ac:dyDescent="0.35">
      <c r="A31" s="5" t="s">
        <v>36</v>
      </c>
      <c r="B31" s="2">
        <f>nominal!H31</f>
        <v>207468770000</v>
      </c>
      <c r="C31" s="2">
        <f>(nominal!C31/nominal!$I31)*100</f>
        <v>126292216211.79016</v>
      </c>
      <c r="D31" s="2">
        <f>(nominal!D31/nominal!$I31)*100</f>
        <v>33898135096.050983</v>
      </c>
      <c r="E31" s="2">
        <f>(nominal!E31/nominal!$I31)*100</f>
        <v>31522408723.295776</v>
      </c>
      <c r="F31" s="2">
        <f>(nominal!F31/nominal!$I31)*100</f>
        <v>25684383450.711277</v>
      </c>
      <c r="G31" s="2">
        <f>(nominal!G31/nominal!$I31)*100</f>
        <v>41440393419.574371</v>
      </c>
    </row>
    <row r="32" spans="1:7" ht="16" x14ac:dyDescent="0.35">
      <c r="A32" s="5" t="s">
        <v>37</v>
      </c>
      <c r="B32" s="2">
        <f>nominal!H32</f>
        <v>209582440000</v>
      </c>
      <c r="C32" s="2">
        <f>(nominal!C32/nominal!$I32)*100</f>
        <v>125696339974.39291</v>
      </c>
      <c r="D32" s="2">
        <f>(nominal!D32/nominal!$I32)*100</f>
        <v>33777724097.39344</v>
      </c>
      <c r="E32" s="2">
        <f>(nominal!E32/nominal!$I32)*100</f>
        <v>31209005214.156567</v>
      </c>
      <c r="F32" s="2">
        <f>(nominal!F32/nominal!$I32)*100</f>
        <v>26180807124.912407</v>
      </c>
      <c r="G32" s="2">
        <f>(nominal!G32/nominal!$I32)*100</f>
        <v>45080177838.96949</v>
      </c>
    </row>
    <row r="33" spans="1:7" ht="16" x14ac:dyDescent="0.35">
      <c r="A33" s="5" t="s">
        <v>38</v>
      </c>
      <c r="B33" s="2">
        <f>nominal!H33</f>
        <v>212673400000</v>
      </c>
      <c r="C33" s="2">
        <f>(nominal!C33/nominal!$I33)*100</f>
        <v>131089377675.40576</v>
      </c>
      <c r="D33" s="2">
        <f>(nominal!D33/nominal!$I33)*100</f>
        <v>36720556090.947723</v>
      </c>
      <c r="E33" s="2">
        <f>(nominal!E33/nominal!$I33)*100</f>
        <v>31707621860.997383</v>
      </c>
      <c r="F33" s="2">
        <f>(nominal!F33/nominal!$I33)*100</f>
        <v>26140510716.461735</v>
      </c>
      <c r="G33" s="2">
        <f>(nominal!G33/nominal!$I33)*100</f>
        <v>39296355089.11087</v>
      </c>
    </row>
    <row r="34" spans="1:7" ht="16" x14ac:dyDescent="0.35">
      <c r="A34" s="5" t="s">
        <v>39</v>
      </c>
      <c r="B34" s="2">
        <f>nominal!H34</f>
        <v>218393090000</v>
      </c>
      <c r="C34" s="2">
        <f>(nominal!C34/nominal!$I34)*100</f>
        <v>129112089174.79425</v>
      </c>
      <c r="D34" s="2">
        <f>(nominal!D34/nominal!$I34)*100</f>
        <v>37775869283.263626</v>
      </c>
      <c r="E34" s="2">
        <f>(nominal!E34/nominal!$I34)*100</f>
        <v>37600445864.942558</v>
      </c>
      <c r="F34" s="2">
        <f>(nominal!F34/nominal!$I34)*100</f>
        <v>28792105128.986389</v>
      </c>
      <c r="G34" s="2">
        <f>(nominal!G34/nominal!$I34)*100</f>
        <v>42696790805.985947</v>
      </c>
    </row>
    <row r="35" spans="1:7" ht="16" x14ac:dyDescent="0.35">
      <c r="A35" s="5" t="s">
        <v>40</v>
      </c>
      <c r="B35" s="2">
        <f>nominal!H35</f>
        <v>221200860000</v>
      </c>
      <c r="C35" s="2">
        <f>(nominal!C35/nominal!$I35)*100</f>
        <v>132164418582.52911</v>
      </c>
      <c r="D35" s="2">
        <f>(nominal!D35/nominal!$I35)*100</f>
        <v>39701730598.275711</v>
      </c>
      <c r="E35" s="2">
        <f>(nominal!E35/nominal!$I35)*100</f>
        <v>39551564156.618874</v>
      </c>
      <c r="F35" s="2">
        <f>(nominal!F35/nominal!$I35)*100</f>
        <v>30359889396.895016</v>
      </c>
      <c r="G35" s="2">
        <f>(nominal!G35/nominal!$I35)*100</f>
        <v>40143036059.471313</v>
      </c>
    </row>
    <row r="36" spans="1:7" ht="16" x14ac:dyDescent="0.35">
      <c r="A36" s="5" t="s">
        <v>41</v>
      </c>
      <c r="B36" s="2">
        <f>nominal!H36</f>
        <v>222946600000</v>
      </c>
      <c r="C36" s="2">
        <f>(nominal!C36/nominal!$I36)*100</f>
        <v>134729828412.30605</v>
      </c>
      <c r="D36" s="2">
        <f>(nominal!D36/nominal!$I36)*100</f>
        <v>37418334516.276237</v>
      </c>
      <c r="E36" s="2">
        <f>(nominal!E36/nominal!$I36)*100</f>
        <v>35745132831.229088</v>
      </c>
      <c r="F36" s="2">
        <f>(nominal!F36/nominal!$I36)*100</f>
        <v>29490656605.947674</v>
      </c>
      <c r="G36" s="2">
        <f>(nominal!G36/nominal!$I36)*100</f>
        <v>44543960846.136299</v>
      </c>
    </row>
    <row r="37" spans="1:7" ht="16" x14ac:dyDescent="0.35">
      <c r="A37" s="5" t="s">
        <v>42</v>
      </c>
      <c r="B37" s="2">
        <f>nominal!H37</f>
        <v>224809490000</v>
      </c>
      <c r="C37" s="2">
        <f>(nominal!C37/nominal!$I37)*100</f>
        <v>138807747058.41388</v>
      </c>
      <c r="D37" s="2">
        <f>(nominal!D37/nominal!$I37)*100</f>
        <v>38417045064.257271</v>
      </c>
      <c r="E37" s="2">
        <f>(nominal!E37/nominal!$I37)*100</f>
        <v>34682591928.458504</v>
      </c>
      <c r="F37" s="2">
        <f>(nominal!F37/nominal!$I37)*100</f>
        <v>27737795752.416401</v>
      </c>
      <c r="G37" s="2">
        <f>(nominal!G37/nominal!$I37)*100</f>
        <v>40639901701.286751</v>
      </c>
    </row>
    <row r="38" spans="1:7" ht="16" x14ac:dyDescent="0.35">
      <c r="A38" s="5" t="s">
        <v>43</v>
      </c>
      <c r="B38" s="2">
        <f>nominal!H38</f>
        <v>227193710000</v>
      </c>
      <c r="C38" s="2">
        <f>(nominal!C38/nominal!$I38)*100</f>
        <v>136493464897.14445</v>
      </c>
      <c r="D38" s="2">
        <f>(nominal!D38/nominal!$I38)*100</f>
        <v>39337447805.910477</v>
      </c>
      <c r="E38" s="2">
        <f>(nominal!E38/nominal!$I38)*100</f>
        <v>35080405362.529099</v>
      </c>
      <c r="F38" s="2">
        <f>(nominal!F38/nominal!$I38)*100</f>
        <v>27532692442.485111</v>
      </c>
      <c r="G38" s="2">
        <f>(nominal!G38/nominal!$I38)*100</f>
        <v>43815084376.901054</v>
      </c>
    </row>
    <row r="39" spans="1:7" ht="16" x14ac:dyDescent="0.35">
      <c r="A39" s="5" t="s">
        <v>44</v>
      </c>
      <c r="B39" s="2">
        <f>nominal!H39</f>
        <v>226022630000</v>
      </c>
      <c r="C39" s="2">
        <f>(nominal!C39/nominal!$I39)*100</f>
        <v>136096236900.33083</v>
      </c>
      <c r="D39" s="2">
        <f>(nominal!D39/nominal!$I39)*100</f>
        <v>39506403671.496712</v>
      </c>
      <c r="E39" s="2">
        <f>(nominal!E39/nominal!$I39)*100</f>
        <v>36012175633.950066</v>
      </c>
      <c r="F39" s="2">
        <f>(nominal!F39/nominal!$I39)*100</f>
        <v>27033559024.543327</v>
      </c>
      <c r="G39" s="2">
        <f>(nominal!G39/nominal!$I39)*100</f>
        <v>41441372818.765724</v>
      </c>
    </row>
    <row r="40" spans="1:7" ht="16" x14ac:dyDescent="0.35">
      <c r="A40" s="5" t="s">
        <v>45</v>
      </c>
      <c r="B40" s="2">
        <f>nominal!H40</f>
        <v>228972240000</v>
      </c>
      <c r="C40" s="2">
        <f>(nominal!C40/nominal!$I40)*100</f>
        <v>137630691162.21255</v>
      </c>
      <c r="D40" s="2">
        <f>(nominal!D40/nominal!$I40)*100</f>
        <v>37527423393.412056</v>
      </c>
      <c r="E40" s="2">
        <f>(nominal!E40/nominal!$I40)*100</f>
        <v>32630798707.271599</v>
      </c>
      <c r="F40" s="2">
        <f>(nominal!F40/nominal!$I40)*100</f>
        <v>25307876047.23431</v>
      </c>
      <c r="G40" s="2">
        <f>(nominal!G40/nominal!$I40)*100</f>
        <v>46491202784.338097</v>
      </c>
    </row>
    <row r="41" spans="1:7" ht="16" x14ac:dyDescent="0.35">
      <c r="A41" s="5" t="s">
        <v>46</v>
      </c>
      <c r="B41" s="2">
        <f>nominal!H41</f>
        <v>232298240000</v>
      </c>
      <c r="C41" s="2">
        <f>(nominal!C41/nominal!$I41)*100</f>
        <v>144592630661.01358</v>
      </c>
      <c r="D41" s="2">
        <f>(nominal!D41/nominal!$I41)*100</f>
        <v>40537252002.670174</v>
      </c>
      <c r="E41" s="2">
        <f>(nominal!E41/nominal!$I41)*100</f>
        <v>31873479441.860462</v>
      </c>
      <c r="F41" s="2">
        <f>(nominal!F41/nominal!$I41)*100</f>
        <v>26315706225.485771</v>
      </c>
      <c r="G41" s="2">
        <f>(nominal!G41/nominal!$I41)*100</f>
        <v>41610584119.941544</v>
      </c>
    </row>
    <row r="42" spans="1:7" ht="16" x14ac:dyDescent="0.35">
      <c r="A42" s="5" t="s">
        <v>47</v>
      </c>
      <c r="B42" s="2">
        <f>nominal!H42</f>
        <v>233259460000</v>
      </c>
      <c r="C42" s="2">
        <f>(nominal!C42/nominal!$I42)*100</f>
        <v>142613335713.98871</v>
      </c>
      <c r="D42" s="2">
        <f>(nominal!D42/nominal!$I42)*100</f>
        <v>40374319232.856285</v>
      </c>
      <c r="E42" s="2">
        <f>(nominal!E42/nominal!$I42)*100</f>
        <v>31961015399.783844</v>
      </c>
      <c r="F42" s="2">
        <f>(nominal!F42/nominal!$I42)*100</f>
        <v>26738522476.867641</v>
      </c>
      <c r="G42" s="2">
        <f>(nominal!G42/nominal!$I42)*100</f>
        <v>45049312130.238823</v>
      </c>
    </row>
    <row r="43" spans="1:7" ht="16" x14ac:dyDescent="0.35">
      <c r="A43" s="5" t="s">
        <v>48</v>
      </c>
      <c r="B43" s="2">
        <f>nominal!H43</f>
        <v>237182690000</v>
      </c>
      <c r="C43" s="2">
        <f>(nominal!C43/nominal!$I43)*100</f>
        <v>141551517548.74982</v>
      </c>
      <c r="D43" s="2">
        <f>(nominal!D43/nominal!$I43)*100</f>
        <v>41600869064.753784</v>
      </c>
      <c r="E43" s="2">
        <f>(nominal!E43/nominal!$I43)*100</f>
        <v>37854149718.895256</v>
      </c>
      <c r="F43" s="2">
        <f>(nominal!F43/nominal!$I43)*100</f>
        <v>29389481524.614464</v>
      </c>
      <c r="G43" s="2">
        <f>(nominal!G43/nominal!$I43)*100</f>
        <v>45565635192.215553</v>
      </c>
    </row>
    <row r="44" spans="1:7" ht="16" x14ac:dyDescent="0.35">
      <c r="A44" s="5" t="s">
        <v>49</v>
      </c>
      <c r="B44" s="2">
        <f>nominal!H44</f>
        <v>240046460000</v>
      </c>
      <c r="C44" s="2">
        <f>(nominal!C44/nominal!$I44)*100</f>
        <v>141628711710.41647</v>
      </c>
      <c r="D44" s="2">
        <f>(nominal!D44/nominal!$I44)*100</f>
        <v>39870081362.009903</v>
      </c>
      <c r="E44" s="2">
        <f>(nominal!E44/nominal!$I44)*100</f>
        <v>33676574648.640812</v>
      </c>
      <c r="F44" s="2">
        <f>(nominal!F44/nominal!$I44)*100</f>
        <v>27493323904.75391</v>
      </c>
      <c r="G44" s="2">
        <f>(nominal!G44/nominal!$I44)*100</f>
        <v>52364416183.686699</v>
      </c>
    </row>
    <row r="45" spans="1:7" ht="16" x14ac:dyDescent="0.35">
      <c r="A45" s="5" t="s">
        <v>50</v>
      </c>
      <c r="B45" s="2">
        <f>nominal!H45</f>
        <v>244278390000</v>
      </c>
      <c r="C45" s="2">
        <f>(nominal!C45/nominal!$I45)*100</f>
        <v>148944425324.40219</v>
      </c>
      <c r="D45" s="2">
        <f>(nominal!D45/nominal!$I45)*100</f>
        <v>42272085179.238007</v>
      </c>
      <c r="E45" s="2">
        <f>(nominal!E45/nominal!$I45)*100</f>
        <v>32912547928.821095</v>
      </c>
      <c r="F45" s="2">
        <f>(nominal!F45/nominal!$I45)*100</f>
        <v>29395516012.831337</v>
      </c>
      <c r="G45" s="2">
        <f>(nominal!G45/nominal!$I45)*100</f>
        <v>49544847580.370056</v>
      </c>
    </row>
    <row r="46" spans="1:7" ht="16" x14ac:dyDescent="0.35">
      <c r="A46" s="5" t="s">
        <v>51</v>
      </c>
      <c r="B46" s="2">
        <f>nominal!H46</f>
        <v>248568880000</v>
      </c>
      <c r="C46" s="2">
        <f>(nominal!C46/nominal!$I46)*100</f>
        <v>148532743704.11014</v>
      </c>
      <c r="D46" s="2">
        <f>(nominal!D46/nominal!$I46)*100</f>
        <v>44167579042.816345</v>
      </c>
      <c r="E46" s="2">
        <f>(nominal!E46/nominal!$I46)*100</f>
        <v>33203425181.05434</v>
      </c>
      <c r="F46" s="2">
        <f>(nominal!F46/nominal!$I46)*100</f>
        <v>28731701959.427719</v>
      </c>
      <c r="G46" s="2">
        <f>(nominal!G46/nominal!$I46)*100</f>
        <v>51396834031.446861</v>
      </c>
    </row>
    <row r="47" spans="1:7" ht="16" x14ac:dyDescent="0.35">
      <c r="A47" s="5" t="s">
        <v>52</v>
      </c>
      <c r="B47" s="2">
        <f>nominal!H47</f>
        <v>251118080000</v>
      </c>
      <c r="C47" s="2">
        <f>(nominal!C47/nominal!$I47)*100</f>
        <v>148945442483.32721</v>
      </c>
      <c r="D47" s="2">
        <f>(nominal!D47/nominal!$I47)*100</f>
        <v>47157188263.977829</v>
      </c>
      <c r="E47" s="2">
        <f>(nominal!E47/nominal!$I47)*100</f>
        <v>34774891942.079597</v>
      </c>
      <c r="F47" s="2">
        <f>(nominal!F47/nominal!$I47)*100</f>
        <v>31183321850.46962</v>
      </c>
      <c r="G47" s="2">
        <f>(nominal!G47/nominal!$I47)*100</f>
        <v>51423879161.084984</v>
      </c>
    </row>
    <row r="48" spans="1:7" ht="16" x14ac:dyDescent="0.35">
      <c r="A48" s="5" t="s">
        <v>53</v>
      </c>
      <c r="B48" s="2">
        <f>nominal!H48</f>
        <v>254801620000</v>
      </c>
      <c r="C48" s="2">
        <f>(nominal!C48/nominal!$I48)*100</f>
        <v>151775452641.59024</v>
      </c>
      <c r="D48" s="2">
        <f>(nominal!D48/nominal!$I48)*100</f>
        <v>46017234523.741669</v>
      </c>
      <c r="E48" s="2">
        <f>(nominal!E48/nominal!$I48)*100</f>
        <v>32302957123.960026</v>
      </c>
      <c r="F48" s="2">
        <f>(nominal!F48/nominal!$I48)*100</f>
        <v>30191125386.438011</v>
      </c>
      <c r="G48" s="2">
        <f>(nominal!G48/nominal!$I48)*100</f>
        <v>54897101097.146103</v>
      </c>
    </row>
    <row r="49" spans="1:7" ht="16" x14ac:dyDescent="0.35">
      <c r="A49" s="5" t="s">
        <v>54</v>
      </c>
      <c r="B49" s="2">
        <f>nominal!H49</f>
        <v>258191960000</v>
      </c>
      <c r="C49" s="2">
        <f>(nominal!C49/nominal!$I49)*100</f>
        <v>157279335480.939</v>
      </c>
      <c r="D49" s="2">
        <f>(nominal!D49/nominal!$I49)*100</f>
        <v>47997876480.271896</v>
      </c>
      <c r="E49" s="2">
        <f>(nominal!E49/nominal!$I49)*100</f>
        <v>29174525717.311169</v>
      </c>
      <c r="F49" s="2">
        <f>(nominal!F49/nominal!$I49)*100</f>
        <v>31338166763.747185</v>
      </c>
      <c r="G49" s="2">
        <f>(nominal!G49/nominal!$I49)*100</f>
        <v>55078389085.225166</v>
      </c>
    </row>
    <row r="50" spans="1:7" ht="16" x14ac:dyDescent="0.35">
      <c r="A50" s="5" t="s">
        <v>55</v>
      </c>
      <c r="B50" s="2">
        <f>nominal!H50</f>
        <v>263436140000</v>
      </c>
      <c r="C50" s="2">
        <f>(nominal!C50/nominal!$I50)*100</f>
        <v>156267158486.36496</v>
      </c>
      <c r="D50" s="2">
        <f>(nominal!D50/nominal!$I50)*100</f>
        <v>50574329970.592247</v>
      </c>
      <c r="E50" s="2">
        <f>(nominal!E50/nominal!$I50)*100</f>
        <v>33683469832.714989</v>
      </c>
      <c r="F50" s="2">
        <f>(nominal!F50/nominal!$I50)*100</f>
        <v>33809449494.870216</v>
      </c>
      <c r="G50" s="2">
        <f>(nominal!G50/nominal!$I50)*100</f>
        <v>56720631205.198013</v>
      </c>
    </row>
    <row r="51" spans="1:7" ht="16" x14ac:dyDescent="0.35">
      <c r="A51" s="5" t="s">
        <v>56</v>
      </c>
      <c r="B51" s="2">
        <f>nominal!H51</f>
        <v>267479530000.00003</v>
      </c>
      <c r="C51" s="2">
        <f>(nominal!C51/nominal!$I51)*100</f>
        <v>158152695498.34299</v>
      </c>
      <c r="D51" s="2">
        <f>(nominal!D51/nominal!$I51)*100</f>
        <v>55591165555.111168</v>
      </c>
      <c r="E51" s="2">
        <f>(nominal!E51/nominal!$I51)*100</f>
        <v>37997028740.418137</v>
      </c>
      <c r="F51" s="2">
        <f>(nominal!F51/nominal!$I51)*100</f>
        <v>37622440281.921181</v>
      </c>
      <c r="G51" s="2">
        <f>(nominal!G51/nominal!$I51)*100</f>
        <v>53361080488.048897</v>
      </c>
    </row>
    <row r="52" spans="1:7" ht="16" x14ac:dyDescent="0.35">
      <c r="A52" s="5" t="s">
        <v>57</v>
      </c>
      <c r="B52" s="2">
        <f>nominal!H52</f>
        <v>257466810000</v>
      </c>
      <c r="C52" s="2">
        <f>(nominal!C52/nominal!$I52)*100</f>
        <v>153673233340.23196</v>
      </c>
      <c r="D52" s="2">
        <f>(nominal!D52/nominal!$I52)*100</f>
        <v>48567731933.204193</v>
      </c>
      <c r="E52" s="2">
        <f>(nominal!E52/nominal!$I52)*100</f>
        <v>39961934902.454582</v>
      </c>
      <c r="F52" s="2">
        <f>(nominal!F52/nominal!$I52)*100</f>
        <v>40182272600.622841</v>
      </c>
      <c r="G52" s="2">
        <f>(nominal!G52/nominal!$I52)*100</f>
        <v>55446182424.732117</v>
      </c>
    </row>
    <row r="53" spans="1:7" ht="16" x14ac:dyDescent="0.35">
      <c r="A53" s="5" t="s">
        <v>58</v>
      </c>
      <c r="B53" s="2">
        <f>nominal!H53</f>
        <v>253968610000</v>
      </c>
      <c r="C53" s="2">
        <f>(nominal!C53/nominal!$I53)*100</f>
        <v>159296214594.9556</v>
      </c>
      <c r="D53" s="2">
        <f>(nominal!D53/nominal!$I53)*100</f>
        <v>45325446752.265167</v>
      </c>
      <c r="E53" s="2">
        <f>(nominal!E53/nominal!$I53)*100</f>
        <v>29361028032.526283</v>
      </c>
      <c r="F53" s="2">
        <f>(nominal!F53/nominal!$I53)*100</f>
        <v>31494543448.217033</v>
      </c>
      <c r="G53" s="2">
        <f>(nominal!G53/nominal!$I53)*100</f>
        <v>51480464068.469986</v>
      </c>
    </row>
    <row r="54" spans="1:7" ht="16" x14ac:dyDescent="0.35">
      <c r="A54" s="5" t="s">
        <v>59</v>
      </c>
      <c r="B54" s="2">
        <f>nominal!H54</f>
        <v>258509160000</v>
      </c>
      <c r="C54" s="2">
        <f>(nominal!C54/nominal!$I54)*100</f>
        <v>162206594582.97089</v>
      </c>
      <c r="D54" s="2">
        <f>(nominal!D54/nominal!$I54)*100</f>
        <v>47406069158.176498</v>
      </c>
      <c r="E54" s="2">
        <f>(nominal!E54/nominal!$I54)*100</f>
        <v>30207447604.896606</v>
      </c>
      <c r="F54" s="2">
        <f>(nominal!F54/nominal!$I54)*100</f>
        <v>28600244109.326172</v>
      </c>
      <c r="G54" s="2">
        <f>(nominal!G54/nominal!$I54)*100</f>
        <v>47289292763.282173</v>
      </c>
    </row>
    <row r="55" spans="1:7" ht="16" x14ac:dyDescent="0.35">
      <c r="A55" s="5" t="s">
        <v>60</v>
      </c>
      <c r="B55" s="2">
        <f>nominal!H55</f>
        <v>264610469999.99997</v>
      </c>
      <c r="C55" s="2">
        <f>(nominal!C55/nominal!$I55)*100</f>
        <v>165806650622.20126</v>
      </c>
      <c r="D55" s="2">
        <f>(nominal!D55/nominal!$I55)*100</f>
        <v>53484735220.362946</v>
      </c>
      <c r="E55" s="2">
        <f>(nominal!E55/nominal!$I55)*100</f>
        <v>28825821781.75819</v>
      </c>
      <c r="F55" s="2">
        <f>(nominal!F55/nominal!$I55)*100</f>
        <v>29743286262.078712</v>
      </c>
      <c r="G55" s="2">
        <f>(nominal!G55/nominal!$I55)*100</f>
        <v>46236548637.756302</v>
      </c>
    </row>
    <row r="56" spans="1:7" ht="16" x14ac:dyDescent="0.35">
      <c r="A56" s="5" t="s">
        <v>61</v>
      </c>
      <c r="B56" s="2">
        <f>nominal!H56</f>
        <v>271268599999.99997</v>
      </c>
      <c r="C56" s="2">
        <f>(nominal!C56/nominal!$I56)*100</f>
        <v>162718959021.04526</v>
      </c>
      <c r="D56" s="2">
        <f>(nominal!D56/nominal!$I56)*100</f>
        <v>53631786019.65036</v>
      </c>
      <c r="E56" s="2">
        <f>(nominal!E56/nominal!$I56)*100</f>
        <v>25774424716.347343</v>
      </c>
      <c r="F56" s="2">
        <f>(nominal!F56/nominal!$I56)*100</f>
        <v>28463558326.416744</v>
      </c>
      <c r="G56" s="2">
        <f>(nominal!G56/nominal!$I56)*100</f>
        <v>57606988569.373764</v>
      </c>
    </row>
    <row r="57" spans="1:7" ht="16" x14ac:dyDescent="0.35">
      <c r="A57" s="5" t="s">
        <v>62</v>
      </c>
      <c r="B57" s="2">
        <f>nominal!H57</f>
        <v>277004390000</v>
      </c>
      <c r="C57" s="2">
        <f>(nominal!C57/nominal!$I57)*100</f>
        <v>170750783972.50894</v>
      </c>
      <c r="D57" s="2">
        <f>(nominal!D57/nominal!$I57)*100</f>
        <v>55621069734.847931</v>
      </c>
      <c r="E57" s="2">
        <f>(nominal!E57/nominal!$I57)*100</f>
        <v>27125834198.886055</v>
      </c>
      <c r="F57" s="2">
        <f>(nominal!F57/nominal!$I57)*100</f>
        <v>31648733685.763828</v>
      </c>
      <c r="G57" s="2">
        <f>(nominal!G57/nominal!$I57)*100</f>
        <v>55155435779.52092</v>
      </c>
    </row>
    <row r="58" spans="1:7" ht="16" x14ac:dyDescent="0.35">
      <c r="A58" s="5" t="s">
        <v>63</v>
      </c>
      <c r="B58" s="2">
        <f>nominal!H58</f>
        <v>280530950000</v>
      </c>
      <c r="C58" s="2">
        <f>(nominal!C58/nominal!$I58)*100</f>
        <v>168936594112.82166</v>
      </c>
      <c r="D58" s="2">
        <f>(nominal!D58/nominal!$I58)*100</f>
        <v>57462277524.47982</v>
      </c>
      <c r="E58" s="2">
        <f>(nominal!E58/nominal!$I58)*100</f>
        <v>31285687949.732296</v>
      </c>
      <c r="F58" s="2">
        <f>(nominal!F58/nominal!$I58)*100</f>
        <v>33035171592.181282</v>
      </c>
      <c r="G58" s="2">
        <f>(nominal!G58/nominal!$I58)*100</f>
        <v>55881562005.147514</v>
      </c>
    </row>
    <row r="59" spans="1:7" ht="16" x14ac:dyDescent="0.35">
      <c r="A59" s="5" t="s">
        <v>64</v>
      </c>
      <c r="B59" s="2">
        <f>nominal!H59</f>
        <v>283017090000</v>
      </c>
      <c r="C59" s="2">
        <f>(nominal!C59/nominal!$I59)*100</f>
        <v>169234824061.56711</v>
      </c>
      <c r="D59" s="2">
        <f>(nominal!D59/nominal!$I59)*100</f>
        <v>60921836764.178024</v>
      </c>
      <c r="E59" s="2">
        <f>(nominal!E59/nominal!$I59)*100</f>
        <v>32394521792.752033</v>
      </c>
      <c r="F59" s="2">
        <f>(nominal!F59/nominal!$I59)*100</f>
        <v>35974155446.226456</v>
      </c>
      <c r="G59" s="2">
        <f>(nominal!G59/nominal!$I59)*100</f>
        <v>56440062827.729263</v>
      </c>
    </row>
    <row r="60" spans="1:7" ht="16" x14ac:dyDescent="0.35">
      <c r="A60" s="5" t="s">
        <v>65</v>
      </c>
      <c r="B60" s="2">
        <f>nominal!H60</f>
        <v>286976560000</v>
      </c>
      <c r="C60" s="2">
        <f>(nominal!C60/nominal!$I60)*100</f>
        <v>170571884530.48602</v>
      </c>
      <c r="D60" s="2">
        <f>(nominal!D60/nominal!$I60)*100</f>
        <v>57471577085.410034</v>
      </c>
      <c r="E60" s="2">
        <f>(nominal!E60/nominal!$I60)*100</f>
        <v>31455955156.662285</v>
      </c>
      <c r="F60" s="2">
        <f>(nominal!F60/nominal!$I60)*100</f>
        <v>33483086554.980755</v>
      </c>
      <c r="G60" s="2">
        <f>(nominal!G60/nominal!$I60)*100</f>
        <v>60960229782.422424</v>
      </c>
    </row>
    <row r="61" spans="1:7" ht="16" x14ac:dyDescent="0.35">
      <c r="A61" s="6" t="s">
        <v>66</v>
      </c>
      <c r="B61" s="2">
        <f>nominal!H61</f>
        <v>291002900000</v>
      </c>
      <c r="C61" s="2">
        <f>(nominal!C61/nominal!$I61)*100</f>
        <v>178514027999.638</v>
      </c>
      <c r="D61" s="2">
        <f>(nominal!D61/nominal!$I61)*100</f>
        <v>60113096366.269211</v>
      </c>
      <c r="E61" s="2">
        <f>(nominal!E61/nominal!$I61)*100</f>
        <v>29698853116.727383</v>
      </c>
      <c r="F61" s="2">
        <f>(nominal!F61/nominal!$I61)*100</f>
        <v>33314450306.581898</v>
      </c>
      <c r="G61" s="2">
        <f>(nominal!G61/nominal!$I61)*100</f>
        <v>55991372823.947334</v>
      </c>
    </row>
    <row r="62" spans="1:7" ht="16" x14ac:dyDescent="0.35">
      <c r="A62" s="5" t="s">
        <v>67</v>
      </c>
      <c r="B62" s="2">
        <f>nominal!H62</f>
        <v>293671110000</v>
      </c>
      <c r="C62" s="2">
        <f>(nominal!C62/nominal!$I62)*100</f>
        <v>175289747265.50363</v>
      </c>
      <c r="D62" s="2">
        <f>(nominal!D62/nominal!$I62)*100</f>
        <v>59712376239.353203</v>
      </c>
      <c r="E62" s="2">
        <f>(nominal!E62/nominal!$I62)*100</f>
        <v>33777885081.079437</v>
      </c>
      <c r="F62" s="2">
        <f>(nominal!F62/nominal!$I62)*100</f>
        <v>35387964360.023628</v>
      </c>
      <c r="G62" s="2">
        <f>(nominal!G62/nominal!$I62)*100</f>
        <v>60279065774.087334</v>
      </c>
    </row>
    <row r="63" spans="1:7" ht="16" x14ac:dyDescent="0.35">
      <c r="A63" s="5" t="s">
        <v>68</v>
      </c>
      <c r="B63" s="2">
        <f>nominal!H63</f>
        <v>293181620000</v>
      </c>
      <c r="C63" s="2">
        <f>(nominal!C63/nominal!$I63)*100</f>
        <v>176228317494.06201</v>
      </c>
      <c r="D63" s="2">
        <f>(nominal!D63/nominal!$I63)*100</f>
        <v>62502998040.103065</v>
      </c>
      <c r="E63" s="2">
        <f>(nominal!E63/nominal!$I63)*100</f>
        <v>36132218883.285057</v>
      </c>
      <c r="F63" s="2">
        <f>(nominal!F63/nominal!$I63)*100</f>
        <v>37316454030.875618</v>
      </c>
      <c r="G63" s="2">
        <f>(nominal!G63/nominal!$I63)*100</f>
        <v>55634539613.425461</v>
      </c>
    </row>
    <row r="64" spans="1:7" ht="16" x14ac:dyDescent="0.35">
      <c r="A64" s="5" t="s">
        <v>69</v>
      </c>
      <c r="B64" s="2">
        <f>nominal!H64</f>
        <v>295950350000</v>
      </c>
      <c r="C64" s="2">
        <f>(nominal!C64/nominal!$I64)*100</f>
        <v>177693862051.59351</v>
      </c>
      <c r="D64" s="2">
        <f>(nominal!D64/nominal!$I64)*100</f>
        <v>59618645461.296257</v>
      </c>
      <c r="E64" s="2">
        <f>(nominal!E64/nominal!$I64)*100</f>
        <v>35966684994.637337</v>
      </c>
      <c r="F64" s="2">
        <f>(nominal!F64/nominal!$I64)*100</f>
        <v>38666633914.998642</v>
      </c>
      <c r="G64" s="2">
        <f>(nominal!G64/nominal!$I64)*100</f>
        <v>61337791407.471535</v>
      </c>
    </row>
    <row r="65" spans="1:7" ht="16" x14ac:dyDescent="0.35">
      <c r="A65" s="5" t="s">
        <v>70</v>
      </c>
      <c r="B65" s="2">
        <f>nominal!H65</f>
        <v>291736750000</v>
      </c>
      <c r="C65" s="2">
        <f>(nominal!C65/nominal!$I65)*100</f>
        <v>179437341595.95529</v>
      </c>
      <c r="D65" s="2">
        <f>(nominal!D65/nominal!$I65)*100</f>
        <v>60253613944.411301</v>
      </c>
      <c r="E65" s="2">
        <f>(nominal!E65/nominal!$I65)*100</f>
        <v>30748134025.440163</v>
      </c>
      <c r="F65" s="2">
        <f>(nominal!F65/nominal!$I65)*100</f>
        <v>35398723754.597275</v>
      </c>
      <c r="G65" s="2">
        <f>(nominal!G65/nominal!$I65)*100</f>
        <v>56696384188.790535</v>
      </c>
    </row>
    <row r="66" spans="1:7" ht="16" x14ac:dyDescent="0.35">
      <c r="A66" s="5" t="s">
        <v>71</v>
      </c>
      <c r="B66" s="2">
        <f>nominal!H66</f>
        <v>296824160000</v>
      </c>
      <c r="C66" s="2">
        <f>(nominal!C66/nominal!$I66)*100</f>
        <v>180164366875.68353</v>
      </c>
      <c r="D66" s="2">
        <f>(nominal!D66/nominal!$I66)*100</f>
        <v>61275242736.952782</v>
      </c>
      <c r="E66" s="2">
        <f>(nominal!E66/nominal!$I66)*100</f>
        <v>36753103340.94593</v>
      </c>
      <c r="F66" s="2">
        <f>(nominal!F66/nominal!$I66)*100</f>
        <v>40372567503.106178</v>
      </c>
      <c r="G66" s="2">
        <f>(nominal!G66/nominal!$I66)*100</f>
        <v>59004014549.52388</v>
      </c>
    </row>
    <row r="67" spans="1:7" ht="16" x14ac:dyDescent="0.35">
      <c r="A67" s="5" t="s">
        <v>72</v>
      </c>
      <c r="B67" s="2">
        <f>nominal!H67</f>
        <v>301890930000</v>
      </c>
      <c r="C67" s="2">
        <f>(nominal!C67/nominal!$I67)*100</f>
        <v>184883901886.57144</v>
      </c>
      <c r="D67" s="2">
        <f>(nominal!D67/nominal!$I67)*100</f>
        <v>63692180460.31163</v>
      </c>
      <c r="E67" s="2">
        <f>(nominal!E67/nominal!$I67)*100</f>
        <v>37612924421.727348</v>
      </c>
      <c r="F67" s="2">
        <f>(nominal!F67/nominal!$I67)*100</f>
        <v>39946450342.127136</v>
      </c>
      <c r="G67" s="2">
        <f>(nominal!G67/nominal!$I67)*100</f>
        <v>55648373573.516655</v>
      </c>
    </row>
    <row r="68" spans="1:7" ht="16" x14ac:dyDescent="0.35">
      <c r="A68" s="5" t="s">
        <v>73</v>
      </c>
      <c r="B68" s="2">
        <f>nominal!H68</f>
        <v>302276390000</v>
      </c>
      <c r="C68" s="2">
        <f>(nominal!C68/nominal!$I68)*100</f>
        <v>187885839164.89673</v>
      </c>
      <c r="D68" s="2">
        <f>(nominal!D68/nominal!$I68)*100</f>
        <v>61883050362.944092</v>
      </c>
      <c r="E68" s="2">
        <f>(nominal!E68/nominal!$I68)*100</f>
        <v>36375060896.11554</v>
      </c>
      <c r="F68" s="2">
        <f>(nominal!F68/nominal!$I68)*100</f>
        <v>41960363384.039291</v>
      </c>
      <c r="G68" s="2">
        <f>(nominal!G68/nominal!$I68)*100</f>
        <v>58092802960.082901</v>
      </c>
    </row>
    <row r="69" spans="1:7" ht="16" x14ac:dyDescent="0.35">
      <c r="A69" s="5" t="s">
        <v>74</v>
      </c>
      <c r="B69" s="2">
        <f>nominal!H69</f>
        <v>303619310000</v>
      </c>
      <c r="C69" s="2">
        <f>(nominal!C69/nominal!$I69)*100</f>
        <v>190178819212.75858</v>
      </c>
      <c r="D69" s="2">
        <f>(nominal!D69/nominal!$I69)*100</f>
        <v>62749647057.112762</v>
      </c>
      <c r="E69" s="2">
        <f>(nominal!E69/nominal!$I69)*100</f>
        <v>30645494935.229469</v>
      </c>
      <c r="F69" s="2">
        <f>(nominal!F69/nominal!$I69)*100</f>
        <v>40172372610.811409</v>
      </c>
      <c r="G69" s="2">
        <f>(nominal!G69/nominal!$I69)*100</f>
        <v>60217721405.71064</v>
      </c>
    </row>
    <row r="70" spans="1:7" ht="16" x14ac:dyDescent="0.35">
      <c r="A70" s="5" t="s">
        <v>75</v>
      </c>
      <c r="B70" s="2">
        <f>nominal!H70</f>
        <v>307978330000</v>
      </c>
      <c r="C70" s="2">
        <f>(nominal!C70/nominal!$I70)*100</f>
        <v>187683099929.7207</v>
      </c>
      <c r="D70" s="2">
        <f>(nominal!D70/nominal!$I70)*100</f>
        <v>65093017039.838791</v>
      </c>
      <c r="E70" s="2">
        <f>(nominal!E70/nominal!$I70)*100</f>
        <v>36394665827.91967</v>
      </c>
      <c r="F70" s="2">
        <f>(nominal!F70/nominal!$I70)*100</f>
        <v>42233907766.464027</v>
      </c>
      <c r="G70" s="2">
        <f>(nominal!G70/nominal!$I70)*100</f>
        <v>61041454968.984856</v>
      </c>
    </row>
    <row r="71" spans="1:7" ht="16" x14ac:dyDescent="0.35">
      <c r="A71" s="5" t="s">
        <v>76</v>
      </c>
      <c r="B71" s="2">
        <f>nominal!H71</f>
        <v>309335150000</v>
      </c>
      <c r="C71" s="2">
        <f>(nominal!C71/nominal!$I71)*100</f>
        <v>190321662070.92505</v>
      </c>
      <c r="D71" s="2">
        <f>(nominal!D71/nominal!$I71)*100</f>
        <v>66558727555.58165</v>
      </c>
      <c r="E71" s="2">
        <f>(nominal!E71/nominal!$I71)*100</f>
        <v>38790992487.818787</v>
      </c>
      <c r="F71" s="2">
        <f>(nominal!F71/nominal!$I71)*100</f>
        <v>46103052310.812668</v>
      </c>
      <c r="G71" s="2">
        <f>(nominal!G71/nominal!$I71)*100</f>
        <v>59766820196.487213</v>
      </c>
    </row>
    <row r="72" spans="1:7" ht="16" x14ac:dyDescent="0.35">
      <c r="A72" s="5" t="s">
        <v>77</v>
      </c>
      <c r="B72" s="2">
        <f>nominal!H72</f>
        <v>309941860000</v>
      </c>
      <c r="C72" s="2">
        <f>(nominal!C72/nominal!$I72)*100</f>
        <v>191580509646.49179</v>
      </c>
      <c r="D72" s="2">
        <f>(nominal!D72/nominal!$I72)*100</f>
        <v>63036386995.190659</v>
      </c>
      <c r="E72" s="2">
        <f>(nominal!E72/nominal!$I72)*100</f>
        <v>38296583779.43396</v>
      </c>
      <c r="F72" s="2">
        <f>(nominal!F72/nominal!$I72)*100</f>
        <v>44143914451.730042</v>
      </c>
      <c r="G72" s="2">
        <f>(nominal!G72/nominal!$I72)*100</f>
        <v>61172294030.613663</v>
      </c>
    </row>
    <row r="73" spans="1:7" ht="16" x14ac:dyDescent="0.35">
      <c r="A73" s="5" t="s">
        <v>78</v>
      </c>
      <c r="B73" s="2">
        <f>nominal!H73</f>
        <v>312114020000</v>
      </c>
      <c r="C73" s="2">
        <f>(nominal!C73/nominal!$I73)*100</f>
        <v>196780453605.46793</v>
      </c>
      <c r="D73" s="2">
        <f>(nominal!D73/nominal!$I73)*100</f>
        <v>64719958647.297478</v>
      </c>
      <c r="E73" s="2">
        <f>(nominal!E73/nominal!$I73)*100</f>
        <v>32538670427.545547</v>
      </c>
      <c r="F73" s="2">
        <f>(nominal!F73/nominal!$I73)*100</f>
        <v>42991030336.014709</v>
      </c>
      <c r="G73" s="2">
        <f>(nominal!G73/nominal!$I73)*100</f>
        <v>61065967655.703796</v>
      </c>
    </row>
    <row r="74" spans="1:7" ht="16" x14ac:dyDescent="0.35">
      <c r="A74" s="5" t="s">
        <v>79</v>
      </c>
      <c r="B74" s="2">
        <f>nominal!H74</f>
        <v>308115440000</v>
      </c>
      <c r="C74" s="2">
        <f>(nominal!C74/nominal!$I74)*100</f>
        <v>192450783899.17334</v>
      </c>
      <c r="D74" s="2">
        <f>(nominal!D74/nominal!$I74)*100</f>
        <v>61177613212.423073</v>
      </c>
      <c r="E74" s="2">
        <f>(nominal!E74/nominal!$I74)*100</f>
        <v>35106593367.01535</v>
      </c>
      <c r="F74" s="2">
        <f>(nominal!F74/nominal!$I74)*100</f>
        <v>41054777921.230225</v>
      </c>
      <c r="G74" s="2">
        <f>(nominal!G74/nominal!$I74)*100</f>
        <v>60435227442.618492</v>
      </c>
    </row>
    <row r="75" spans="1:7" ht="16" x14ac:dyDescent="0.35">
      <c r="A75" s="5" t="s">
        <v>80</v>
      </c>
      <c r="B75" s="2">
        <f>nominal!H75</f>
        <v>307826410000</v>
      </c>
      <c r="C75" s="2">
        <f>(nominal!C75/nominal!$I75)*100</f>
        <v>192018203896.75986</v>
      </c>
      <c r="D75" s="2">
        <f>(nominal!D75/nominal!$I75)*100</f>
        <v>60982314518.225189</v>
      </c>
      <c r="E75" s="2">
        <f>(nominal!E75/nominal!$I75)*100</f>
        <v>36139141597.708817</v>
      </c>
      <c r="F75" s="2">
        <f>(nominal!F75/nominal!$I75)*100</f>
        <v>43040011268.208946</v>
      </c>
      <c r="G75" s="2">
        <f>(nominal!G75/nominal!$I75)*100</f>
        <v>61726761255.515083</v>
      </c>
    </row>
    <row r="76" spans="1:7" ht="16" x14ac:dyDescent="0.35">
      <c r="A76" s="5" t="s">
        <v>81</v>
      </c>
      <c r="B76" s="2">
        <f>nominal!H76</f>
        <v>309167940000</v>
      </c>
      <c r="C76" s="2">
        <f>(nominal!C76/nominal!$I76)*100</f>
        <v>197595721643.45969</v>
      </c>
      <c r="D76" s="2">
        <f>(nominal!D76/nominal!$I76)*100</f>
        <v>59228094540.349022</v>
      </c>
      <c r="E76" s="2">
        <f>(nominal!E76/nominal!$I76)*100</f>
        <v>32416290019.628448</v>
      </c>
      <c r="F76" s="2">
        <f>(nominal!F76/nominal!$I76)*100</f>
        <v>42081188986.844765</v>
      </c>
      <c r="G76" s="2">
        <f>(nominal!G76/nominal!$I76)*100</f>
        <v>62009022783.407639</v>
      </c>
    </row>
    <row r="77" spans="1:7" ht="16" x14ac:dyDescent="0.35">
      <c r="A77" s="5" t="s">
        <v>82</v>
      </c>
      <c r="B77" s="2">
        <f>nominal!H77</f>
        <v>306574290000</v>
      </c>
      <c r="C77" s="2">
        <f>(nominal!C77/nominal!$I77)*100</f>
        <v>197113643661.57761</v>
      </c>
      <c r="D77" s="2">
        <f>(nominal!D77/nominal!$I77)*100</f>
        <v>58362721466.348671</v>
      </c>
      <c r="E77" s="2">
        <f>(nominal!E77/nominal!$I77)*100</f>
        <v>32273813620.305092</v>
      </c>
      <c r="F77" s="2">
        <f>(nominal!F77/nominal!$I77)*100</f>
        <v>42455009959.839607</v>
      </c>
      <c r="G77" s="2">
        <f>(nominal!G77/nominal!$I77)*100</f>
        <v>61279121211.608208</v>
      </c>
    </row>
    <row r="78" spans="1:7" ht="16" x14ac:dyDescent="0.35">
      <c r="A78" s="5" t="s">
        <v>83</v>
      </c>
      <c r="B78" s="2">
        <f>nominal!H78</f>
        <v>299682740000</v>
      </c>
      <c r="C78" s="2">
        <f>(nominal!C78/nominal!$I78)*100</f>
        <v>190058393987.9187</v>
      </c>
      <c r="D78" s="2">
        <f>(nominal!D78/nominal!$I78)*100</f>
        <v>54065684617.080078</v>
      </c>
      <c r="E78" s="2">
        <f>(nominal!E78/nominal!$I78)*100</f>
        <v>38442785207.483932</v>
      </c>
      <c r="F78" s="2">
        <f>(nominal!F78/nominal!$I78)*100</f>
        <v>41496371239.092682</v>
      </c>
      <c r="G78" s="2">
        <f>(nominal!G78/nominal!$I78)*100</f>
        <v>58612247426.610008</v>
      </c>
    </row>
    <row r="79" spans="1:7" ht="16" x14ac:dyDescent="0.35">
      <c r="A79" s="5" t="s">
        <v>84</v>
      </c>
      <c r="B79" s="2">
        <f>nominal!H79</f>
        <v>295000670000</v>
      </c>
      <c r="C79" s="2">
        <f>(nominal!C79/nominal!$I79)*100</f>
        <v>187692207631.73737</v>
      </c>
      <c r="D79" s="2">
        <f>(nominal!D79/nominal!$I79)*100</f>
        <v>52869898386.503899</v>
      </c>
      <c r="E79" s="2">
        <f>(nominal!E79/nominal!$I79)*100</f>
        <v>41590762449.351158</v>
      </c>
      <c r="F79" s="2">
        <f>(nominal!F79/nominal!$I79)*100</f>
        <v>42980850527.340691</v>
      </c>
      <c r="G79" s="2">
        <f>(nominal!G79/nominal!$I79)*100</f>
        <v>55828652059.748253</v>
      </c>
    </row>
    <row r="80" spans="1:7" ht="16" x14ac:dyDescent="0.35">
      <c r="A80" s="5" t="s">
        <v>85</v>
      </c>
      <c r="B80" s="2">
        <f>nominal!H80</f>
        <v>292169420000</v>
      </c>
      <c r="C80" s="2">
        <f>(nominal!C80/nominal!$I80)*100</f>
        <v>188464374827.10373</v>
      </c>
      <c r="D80" s="2">
        <f>(nominal!D80/nominal!$I80)*100</f>
        <v>47997633686.588051</v>
      </c>
      <c r="E80" s="2">
        <f>(nominal!E80/nominal!$I80)*100</f>
        <v>40998814725.164902</v>
      </c>
      <c r="F80" s="2">
        <f>(nominal!F80/nominal!$I80)*100</f>
        <v>40732063873.276039</v>
      </c>
      <c r="G80" s="2">
        <f>(nominal!G80/nominal!$I80)*100</f>
        <v>55440660634.419342</v>
      </c>
    </row>
    <row r="81" spans="1:7" ht="16" x14ac:dyDescent="0.35">
      <c r="A81" s="5" t="s">
        <v>86</v>
      </c>
      <c r="B81" s="2">
        <f>nominal!H81</f>
        <v>288155080000</v>
      </c>
      <c r="C81" s="2">
        <f>(nominal!C81/nominal!$I81)*100</f>
        <v>187185303651.09888</v>
      </c>
      <c r="D81" s="2">
        <f>(nominal!D81/nominal!$I81)*100</f>
        <v>46222771502.85376</v>
      </c>
      <c r="E81" s="2">
        <f>(nominal!E81/nominal!$I81)*100</f>
        <v>37522414461.41069</v>
      </c>
      <c r="F81" s="2">
        <f>(nominal!F81/nominal!$I81)*100</f>
        <v>37609996147.781204</v>
      </c>
      <c r="G81" s="2">
        <f>(nominal!G81/nominal!$I81)*100</f>
        <v>54834586532.41787</v>
      </c>
    </row>
    <row r="82" spans="1:7" ht="16" x14ac:dyDescent="0.35">
      <c r="A82" s="5" t="s">
        <v>87</v>
      </c>
      <c r="B82" s="2">
        <f>nominal!H82</f>
        <v>288966350000</v>
      </c>
      <c r="C82" s="2">
        <f>(nominal!C82/nominal!$I82)*100</f>
        <v>182897414998.23615</v>
      </c>
      <c r="D82" s="2">
        <f>(nominal!D82/nominal!$I82)*100</f>
        <v>45938245008.915695</v>
      </c>
      <c r="E82" s="2">
        <f>(nominal!E82/nominal!$I82)*100</f>
        <v>38572712291.780258</v>
      </c>
      <c r="F82" s="2">
        <f>(nominal!F82/nominal!$I82)*100</f>
        <v>35721323094.256119</v>
      </c>
      <c r="G82" s="2">
        <f>(nominal!G82/nominal!$I82)*100</f>
        <v>57279300795.324089</v>
      </c>
    </row>
    <row r="83" spans="1:7" ht="16" x14ac:dyDescent="0.35">
      <c r="A83" s="5" t="s">
        <v>88</v>
      </c>
      <c r="B83" s="2">
        <f>nominal!H83</f>
        <v>287555320000</v>
      </c>
      <c r="C83" s="2">
        <f>(nominal!C83/nominal!$I83)*100</f>
        <v>185246070001.50903</v>
      </c>
      <c r="D83" s="2">
        <f>(nominal!D83/nominal!$I83)*100</f>
        <v>44964647449.799324</v>
      </c>
      <c r="E83" s="2">
        <f>(nominal!E83/nominal!$I83)*100</f>
        <v>35169129450.902573</v>
      </c>
      <c r="F83" s="2">
        <f>(nominal!F83/nominal!$I83)*100</f>
        <v>33656025853.522449</v>
      </c>
      <c r="G83" s="2">
        <f>(nominal!G83/nominal!$I83)*100</f>
        <v>55831498951.311531</v>
      </c>
    </row>
    <row r="84" spans="1:7" ht="16" x14ac:dyDescent="0.35">
      <c r="A84" s="5" t="s">
        <v>89</v>
      </c>
      <c r="B84" s="2">
        <f>nominal!H84</f>
        <v>287220320000</v>
      </c>
      <c r="C84" s="2">
        <f>(nominal!C84/nominal!$I84)*100</f>
        <v>184830154993.65509</v>
      </c>
      <c r="D84" s="2">
        <f>(nominal!D84/nominal!$I84)*100</f>
        <v>41890020005.09552</v>
      </c>
      <c r="E84" s="2">
        <f>(nominal!E84/nominal!$I84)*100</f>
        <v>32579504428.68972</v>
      </c>
      <c r="F84" s="2">
        <f>(nominal!F84/nominal!$I84)*100</f>
        <v>32257596901.534046</v>
      </c>
      <c r="G84" s="2">
        <f>(nominal!G84/nominal!$I84)*100</f>
        <v>60178237474.093712</v>
      </c>
    </row>
    <row r="85" spans="1:7" ht="16" x14ac:dyDescent="0.35">
      <c r="A85" s="5" t="s">
        <v>90</v>
      </c>
      <c r="B85" s="2">
        <f>nominal!H85</f>
        <v>290064130000</v>
      </c>
      <c r="C85" s="2">
        <f>(nominal!C85/nominal!$I85)*100</f>
        <v>186140853956.13724</v>
      </c>
      <c r="D85" s="2">
        <f>(nominal!D85/nominal!$I85)*100</f>
        <v>42168765761.749115</v>
      </c>
      <c r="E85" s="2">
        <f>(nominal!E85/nominal!$I85)*100</f>
        <v>35185120148.176834</v>
      </c>
      <c r="F85" s="2">
        <f>(nominal!F85/nominal!$I85)*100</f>
        <v>33662060887.925823</v>
      </c>
      <c r="G85" s="2">
        <f>(nominal!G85/nominal!$I85)*100</f>
        <v>60231451021.862648</v>
      </c>
    </row>
    <row r="86" spans="1:7" ht="16" x14ac:dyDescent="0.35">
      <c r="A86" s="5" t="s">
        <v>91</v>
      </c>
      <c r="B86" s="2">
        <f>nominal!H86</f>
        <v>292369200000</v>
      </c>
      <c r="C86" s="2">
        <f>(nominal!C86/nominal!$I86)*100</f>
        <v>185689304418.02139</v>
      </c>
      <c r="D86" s="2">
        <f>(nominal!D86/nominal!$I86)*100</f>
        <v>41813028573.460976</v>
      </c>
      <c r="E86" s="2">
        <f>(nominal!E86/nominal!$I86)*100</f>
        <v>38777694363.628563</v>
      </c>
      <c r="F86" s="2">
        <f>(nominal!F86/nominal!$I86)*100</f>
        <v>33176758704.138641</v>
      </c>
      <c r="G86" s="2">
        <f>(nominal!G86/nominal!$I86)*100</f>
        <v>59265931349.02774</v>
      </c>
    </row>
    <row r="87" spans="1:7" ht="16" x14ac:dyDescent="0.35">
      <c r="A87" s="5" t="s">
        <v>92</v>
      </c>
      <c r="B87" s="2">
        <f>nominal!H87</f>
        <v>293202060000</v>
      </c>
      <c r="C87" s="2">
        <f>(nominal!C87/nominal!$I87)*100</f>
        <v>190366012748.80127</v>
      </c>
      <c r="D87" s="2">
        <f>(nominal!D87/nominal!$I87)*100</f>
        <v>43659965072.705597</v>
      </c>
      <c r="E87" s="2">
        <f>(nominal!E87/nominal!$I87)*100</f>
        <v>37433599551.774643</v>
      </c>
      <c r="F87" s="2">
        <f>(nominal!F87/nominal!$I87)*100</f>
        <v>35622422560.48185</v>
      </c>
      <c r="G87" s="2">
        <f>(nominal!G87/nominal!$I87)*100</f>
        <v>57364905187.200317</v>
      </c>
    </row>
    <row r="88" spans="1:7" ht="16" x14ac:dyDescent="0.35">
      <c r="A88" s="5" t="s">
        <v>93</v>
      </c>
      <c r="B88" s="2">
        <f>nominal!H88</f>
        <v>294972290000</v>
      </c>
      <c r="C88" s="2">
        <f>(nominal!C88/nominal!$I88)*100</f>
        <v>192640570314.20432</v>
      </c>
      <c r="D88" s="2">
        <f>(nominal!D88/nominal!$I88)*100</f>
        <v>42785050507.596603</v>
      </c>
      <c r="E88" s="2">
        <f>(nominal!E88/nominal!$I88)*100</f>
        <v>35202262449.284805</v>
      </c>
      <c r="F88" s="2">
        <f>(nominal!F88/nominal!$I88)*100</f>
        <v>35622661669.647491</v>
      </c>
      <c r="G88" s="2">
        <f>(nominal!G88/nominal!$I88)*100</f>
        <v>59967068398.561768</v>
      </c>
    </row>
    <row r="89" spans="1:7" ht="16" x14ac:dyDescent="0.35">
      <c r="A89" s="5" t="s">
        <v>94</v>
      </c>
      <c r="B89" s="2">
        <f>nominal!H89</f>
        <v>296475340000</v>
      </c>
      <c r="C89" s="2">
        <f>(nominal!C89/nominal!$I89)*100</f>
        <v>191901379945.27023</v>
      </c>
      <c r="D89" s="2">
        <f>(nominal!D89/nominal!$I89)*100</f>
        <v>43259998138.974121</v>
      </c>
      <c r="E89" s="2">
        <f>(nominal!E89/nominal!$I89)*100</f>
        <v>37416796304.296516</v>
      </c>
      <c r="F89" s="2">
        <f>(nominal!F89/nominal!$I89)*100</f>
        <v>37312277159.509964</v>
      </c>
      <c r="G89" s="2">
        <f>(nominal!G89/nominal!$I89)*100</f>
        <v>61209442770.969093</v>
      </c>
    </row>
    <row r="90" spans="1:7" ht="16" x14ac:dyDescent="0.35">
      <c r="A90" s="5" t="s">
        <v>95</v>
      </c>
      <c r="B90" s="2">
        <f>nominal!H90</f>
        <v>296315590000</v>
      </c>
      <c r="C90" s="2">
        <f>(nominal!C90/nominal!$I90)*100</f>
        <v>187903083732.08798</v>
      </c>
      <c r="D90" s="2">
        <f>(nominal!D90/nominal!$I90)*100</f>
        <v>43223722378.514725</v>
      </c>
      <c r="E90" s="2">
        <f>(nominal!E90/nominal!$I90)*100</f>
        <v>42508607068.402672</v>
      </c>
      <c r="F90" s="2">
        <f>(nominal!F90/nominal!$I90)*100</f>
        <v>38766768344.18911</v>
      </c>
      <c r="G90" s="2">
        <f>(nominal!G90/nominal!$I90)*100</f>
        <v>61446945165.183769</v>
      </c>
    </row>
    <row r="91" spans="1:7" ht="16" x14ac:dyDescent="0.35">
      <c r="A91" s="5" t="s">
        <v>96</v>
      </c>
      <c r="B91" s="2">
        <f>nominal!H91</f>
        <v>298901930000</v>
      </c>
      <c r="C91" s="2">
        <f>(nominal!C91/nominal!$I91)*100</f>
        <v>193294049203.8605</v>
      </c>
      <c r="D91" s="2">
        <f>(nominal!D91/nominal!$I91)*100</f>
        <v>48258671674.717857</v>
      </c>
      <c r="E91" s="2">
        <f>(nominal!E91/nominal!$I91)*100</f>
        <v>48729886343.169357</v>
      </c>
      <c r="F91" s="2">
        <f>(nominal!F91/nominal!$I91)*100</f>
        <v>49174556087.707367</v>
      </c>
      <c r="G91" s="2">
        <f>(nominal!G91/nominal!$I91)*100</f>
        <v>57793878865.959671</v>
      </c>
    </row>
    <row r="92" spans="1:7" ht="16" x14ac:dyDescent="0.35">
      <c r="A92" s="5" t="s">
        <v>97</v>
      </c>
      <c r="B92" s="2">
        <f>nominal!H92</f>
        <v>298435860000</v>
      </c>
      <c r="C92" s="2">
        <f>(nominal!C92/nominal!$I92)*100</f>
        <v>195799737728.96368</v>
      </c>
      <c r="D92" s="2">
        <f>(nominal!D92/nominal!$I92)*100</f>
        <v>44859258001.157074</v>
      </c>
      <c r="E92" s="2">
        <f>(nominal!E92/nominal!$I92)*100</f>
        <v>45219656297.451302</v>
      </c>
      <c r="F92" s="2">
        <f>(nominal!F92/nominal!$I92)*100</f>
        <v>43953671199.322235</v>
      </c>
      <c r="G92" s="2">
        <f>(nominal!G92/nominal!$I92)*100</f>
        <v>56510879171.750168</v>
      </c>
    </row>
    <row r="93" spans="1:7" ht="16" x14ac:dyDescent="0.35">
      <c r="A93" s="5" t="s">
        <v>98</v>
      </c>
      <c r="B93" s="2">
        <f>nominal!H93</f>
        <v>299175520000</v>
      </c>
      <c r="C93" s="2">
        <f>(nominal!C93/nominal!$I93)*100</f>
        <v>196667262888.40057</v>
      </c>
      <c r="D93" s="2">
        <f>(nominal!D93/nominal!$I93)*100</f>
        <v>44844990007.976997</v>
      </c>
      <c r="E93" s="2">
        <f>(nominal!E93/nominal!$I93)*100</f>
        <v>39248068890.56041</v>
      </c>
      <c r="F93" s="2">
        <f>(nominal!F93/nominal!$I93)*100</f>
        <v>41612972329.862984</v>
      </c>
      <c r="G93" s="2">
        <f>(nominal!G93/nominal!$I93)*100</f>
        <v>60028170542.925003</v>
      </c>
    </row>
    <row r="94" spans="1:7" ht="16" x14ac:dyDescent="0.35">
      <c r="A94" s="5" t="s">
        <v>99</v>
      </c>
      <c r="B94" s="2">
        <f>nominal!H94</f>
        <v>301064630000</v>
      </c>
      <c r="C94" s="2">
        <f>(nominal!C94/nominal!$I94)*100</f>
        <v>193253899225.25714</v>
      </c>
      <c r="D94" s="2">
        <f>(nominal!D94/nominal!$I94)*100</f>
        <v>46264212272.475708</v>
      </c>
      <c r="E94" s="2">
        <f>(nominal!E94/nominal!$I94)*100</f>
        <v>43410893234.467995</v>
      </c>
      <c r="F94" s="2">
        <f>(nominal!F94/nominal!$I94)*100</f>
        <v>42749683970.880692</v>
      </c>
      <c r="G94" s="2">
        <f>(nominal!G94/nominal!$I94)*100</f>
        <v>60885309238.679825</v>
      </c>
    </row>
    <row r="95" spans="1:7" ht="16" x14ac:dyDescent="0.35">
      <c r="A95" s="5" t="s">
        <v>100</v>
      </c>
      <c r="B95" s="2">
        <f>nominal!H95</f>
        <v>300934920000</v>
      </c>
      <c r="C95" s="2">
        <f>(nominal!C95/nominal!$I95)*100</f>
        <v>194586371341.68167</v>
      </c>
      <c r="D95" s="2">
        <f>(nominal!D95/nominal!$I95)*100</f>
        <v>49393645480.051682</v>
      </c>
      <c r="E95" s="2">
        <f>(nominal!E95/nominal!$I95)*100</f>
        <v>44597370677.110085</v>
      </c>
      <c r="F95" s="2">
        <f>(nominal!F95/nominal!$I95)*100</f>
        <v>48128688608.291992</v>
      </c>
      <c r="G95" s="2">
        <f>(nominal!G95/nominal!$I95)*100</f>
        <v>60486221109.448532</v>
      </c>
    </row>
    <row r="96" spans="1:7" ht="16" x14ac:dyDescent="0.35">
      <c r="A96" s="5" t="s">
        <v>101</v>
      </c>
      <c r="B96" s="2">
        <f>nominal!H96</f>
        <v>303416460000</v>
      </c>
      <c r="C96" s="2">
        <f>(nominal!C96/nominal!$I96)*100</f>
        <v>200197315254.73883</v>
      </c>
      <c r="D96" s="2">
        <f>(nominal!D96/nominal!$I96)*100</f>
        <v>45783385845.663094</v>
      </c>
      <c r="E96" s="2">
        <f>(nominal!E96/nominal!$I96)*100</f>
        <v>42715013283.089233</v>
      </c>
      <c r="F96" s="2">
        <f>(nominal!F96/nominal!$I96)*100</f>
        <v>45185605878.310326</v>
      </c>
      <c r="G96" s="2">
        <f>(nominal!G96/nominal!$I96)*100</f>
        <v>59906351494.819168</v>
      </c>
    </row>
    <row r="97" spans="1:7" ht="16" x14ac:dyDescent="0.35">
      <c r="A97" s="5" t="s">
        <v>102</v>
      </c>
      <c r="B97" s="2">
        <f>nominal!H97</f>
        <v>296683160000</v>
      </c>
      <c r="C97" s="2">
        <f>(nominal!C97/nominal!$I97)*100</f>
        <v>192399091595.23471</v>
      </c>
      <c r="D97" s="2">
        <f>(nominal!D97/nominal!$I97)*100</f>
        <v>47964779396.872208</v>
      </c>
      <c r="E97" s="2">
        <f>(nominal!E97/nominal!$I97)*100</f>
        <v>41268784069.054306</v>
      </c>
      <c r="F97" s="2">
        <f>(nominal!F97/nominal!$I97)*100</f>
        <v>47433063815.127174</v>
      </c>
      <c r="G97" s="2">
        <f>(nominal!G97/nominal!$I97)*100</f>
        <v>62483568753.965935</v>
      </c>
    </row>
    <row r="98" spans="1:7" ht="16" x14ac:dyDescent="0.35">
      <c r="A98" s="5" t="s">
        <v>103</v>
      </c>
      <c r="B98" s="2">
        <f>nominal!H98</f>
        <v>270526810000</v>
      </c>
      <c r="C98" s="2">
        <f>(nominal!C98/nominal!$I98)*100</f>
        <v>164626591324.84064</v>
      </c>
      <c r="D98" s="2">
        <f>(nominal!D98/nominal!$I98)*100</f>
        <v>40847800490.265434</v>
      </c>
      <c r="E98" s="2">
        <f>(nominal!E98/nominal!$I98)*100</f>
        <v>49744178243.745163</v>
      </c>
      <c r="F98" s="2">
        <f>(nominal!F98/nominal!$I98)*100</f>
        <v>42336781148.982956</v>
      </c>
      <c r="G98" s="2">
        <f>(nominal!G98/nominal!$I98)*100</f>
        <v>57645021090.131699</v>
      </c>
    </row>
    <row r="99" spans="1:7" ht="16" x14ac:dyDescent="0.35">
      <c r="A99" s="5" t="s">
        <v>104</v>
      </c>
      <c r="B99" s="2">
        <f>nominal!H99</f>
        <v>291818710000</v>
      </c>
      <c r="C99" s="2">
        <f>(nominal!C99/nominal!$I99)*100</f>
        <v>181552393051.24649</v>
      </c>
      <c r="D99" s="2">
        <f>(nominal!D99/nominal!$I99)*100</f>
        <v>47818946515.326881</v>
      </c>
      <c r="E99" s="2">
        <f>(nominal!E99/nominal!$I99)*100</f>
        <v>50650732529.706017</v>
      </c>
      <c r="F99" s="2">
        <f>(nominal!F99/nominal!$I99)*100</f>
        <v>42855682639.894936</v>
      </c>
      <c r="G99" s="2">
        <f>(nominal!G99/nominal!$I99)*100</f>
        <v>54652320543.61557</v>
      </c>
    </row>
    <row r="100" spans="1:7" ht="16" x14ac:dyDescent="0.35">
      <c r="A100" s="5" t="s">
        <v>105</v>
      </c>
      <c r="B100" s="2">
        <f>nominal!H100</f>
        <v>302640540000</v>
      </c>
      <c r="C100" s="2">
        <f>(nominal!C100/nominal!$I100)*100</f>
        <v>194950468419.87805</v>
      </c>
      <c r="D100" s="2">
        <f>(nominal!D100/nominal!$I100)*100</f>
        <v>55461652118.42939</v>
      </c>
      <c r="E100" s="2">
        <f>(nominal!E100/nominal!$I100)*100</f>
        <v>49234277320.931992</v>
      </c>
      <c r="F100" s="2">
        <f>(nominal!F100/nominal!$I100)*100</f>
        <v>51390353565.802597</v>
      </c>
      <c r="G100" s="2">
        <f>(nominal!G100/nominal!$I100)*100</f>
        <v>54384495706.563141</v>
      </c>
    </row>
    <row r="101" spans="1:7" ht="16" x14ac:dyDescent="0.35">
      <c r="A101" s="5" t="s">
        <v>106</v>
      </c>
      <c r="B101" s="2">
        <f>nominal!H101</f>
        <v>305554240000</v>
      </c>
      <c r="C101" s="2">
        <f>(nominal!C101/nominal!$I101)*100</f>
        <v>182389247097.86847</v>
      </c>
      <c r="D101" s="2">
        <f>(nominal!D101/nominal!$I101)*100</f>
        <v>56208197654.346741</v>
      </c>
      <c r="E101" s="2">
        <f>(nominal!E101/nominal!$I101)*100</f>
        <v>50314362999.995361</v>
      </c>
      <c r="F101" s="2">
        <f>(nominal!F101/nominal!$I101)*100</f>
        <v>57214966621.986679</v>
      </c>
      <c r="G101" s="2">
        <f>(nominal!G101/nominal!$I101)*100</f>
        <v>73857398869.776077</v>
      </c>
    </row>
    <row r="102" spans="1:7" ht="16" x14ac:dyDescent="0.35">
      <c r="A102" s="5" t="s">
        <v>107</v>
      </c>
      <c r="B102" s="2">
        <f>nominal!H102</f>
        <v>303688440000</v>
      </c>
      <c r="C102" s="2">
        <f>(nominal!C102/nominal!$I102)*100</f>
        <v>180027857902.26077</v>
      </c>
      <c r="D102" s="2">
        <f>(nominal!D102/nominal!$I102)*100</f>
        <v>52822469212.479904</v>
      </c>
      <c r="E102" s="2">
        <f>(nominal!E102/nominal!$I102)*100</f>
        <v>65808654966.879784</v>
      </c>
      <c r="F102" s="2">
        <f>(nominal!F102/nominal!$I102)*100</f>
        <v>53470048956.51239</v>
      </c>
      <c r="G102" s="2">
        <f>(nominal!G102/nominal!$I102)*100</f>
        <v>58499506874.891953</v>
      </c>
    </row>
    <row r="103" spans="1:7" ht="16" x14ac:dyDescent="0.35">
      <c r="A103" s="5" t="s">
        <v>108</v>
      </c>
      <c r="B103" s="2">
        <f>nominal!H103</f>
        <v>304061170000</v>
      </c>
      <c r="C103" s="2">
        <f>(nominal!C103/nominal!$I103)*100</f>
        <v>187137162356.06754</v>
      </c>
      <c r="D103" s="2">
        <f>(nominal!D103/nominal!$I103)*100</f>
        <v>55492778292.602608</v>
      </c>
      <c r="E103" s="2">
        <f>(nominal!E103/nominal!$I103)*100</f>
        <v>60233314816.523376</v>
      </c>
      <c r="F103" s="2">
        <f>(nominal!F103/nominal!$I103)*100</f>
        <v>54658145081.065796</v>
      </c>
      <c r="G103" s="2">
        <f>(nominal!G103/nominal!$I103)*100</f>
        <v>55856059615.872284</v>
      </c>
    </row>
    <row r="104" spans="1:7" ht="16" x14ac:dyDescent="0.35">
      <c r="A104" s="5" t="s">
        <v>109</v>
      </c>
      <c r="B104" s="2">
        <f>nominal!H104</f>
        <v>307643080000</v>
      </c>
      <c r="C104" s="2">
        <f>(nominal!C104/nominal!$I104)*100</f>
        <v>198989921962.83334</v>
      </c>
      <c r="D104" s="2">
        <f>(nominal!D104/nominal!$I104)*100</f>
        <v>54288972106.883667</v>
      </c>
      <c r="E104" s="2">
        <f>(nominal!E104/nominal!$I104)*100</f>
        <v>56765021619.55397</v>
      </c>
      <c r="F104" s="2">
        <f>(nominal!F104/nominal!$I104)*100</f>
        <v>60973078343.281052</v>
      </c>
      <c r="G104" s="2">
        <f>(nominal!G104/nominal!$I104)*100</f>
        <v>58572242654.010078</v>
      </c>
    </row>
    <row r="105" spans="1:7" ht="16" x14ac:dyDescent="0.35">
      <c r="A105" s="5" t="s">
        <v>110</v>
      </c>
      <c r="B105" s="2">
        <f>nominal!H105</f>
        <v>310135410000</v>
      </c>
      <c r="C105" s="2">
        <f>(nominal!C105/nominal!$I105)*100</f>
        <v>197220341123.74155</v>
      </c>
      <c r="D105" s="2">
        <f>(nominal!D105/nominal!$I105)*100</f>
        <v>54834942140.017281</v>
      </c>
      <c r="E105" s="2">
        <f>(nominal!E105/nominal!$I105)*100</f>
        <v>58441534752.540169</v>
      </c>
      <c r="F105" s="2">
        <f>(nominal!F105/nominal!$I105)*100</f>
        <v>59031045645.570992</v>
      </c>
      <c r="G105" s="2">
        <f>(nominal!G105/nominal!$I105)*100</f>
        <v>58669637629.271996</v>
      </c>
    </row>
    <row r="106" spans="1:7" ht="16" x14ac:dyDescent="0.35">
      <c r="A106" s="5" t="s">
        <v>111</v>
      </c>
      <c r="B106" s="2">
        <f>nominal!H106</f>
        <v>313832190000</v>
      </c>
      <c r="C106" s="2">
        <f>(nominal!C106/nominal!$I106)*100</f>
        <v>194962130756.83194</v>
      </c>
      <c r="D106" s="2">
        <f>(nominal!D106/nominal!$I106)*100</f>
        <v>54297305458.992538</v>
      </c>
      <c r="E106" s="2">
        <f>(nominal!E106/nominal!$I106)*100</f>
        <v>63684044124.595177</v>
      </c>
      <c r="F106" s="2">
        <f>(nominal!F106/nominal!$I106)*100</f>
        <v>58462983953.106293</v>
      </c>
      <c r="G106" s="2">
        <f>(nominal!G106/nominal!$I106)*100</f>
        <v>59351693612.686646</v>
      </c>
    </row>
    <row r="107" spans="1:7" ht="16" x14ac:dyDescent="0.35">
      <c r="A107" s="5" t="s">
        <v>112</v>
      </c>
      <c r="B107" s="2">
        <f>nominal!H107</f>
        <v>316877320000</v>
      </c>
      <c r="C107" s="2">
        <f>(nominal!C107/nominal!$I107)*100</f>
        <v>198131193402.49164</v>
      </c>
      <c r="D107" s="2">
        <f>(nominal!D107/nominal!$I107)*100</f>
        <v>58092303358.150253</v>
      </c>
      <c r="E107" s="2">
        <f>(nominal!E107/nominal!$I107)*100</f>
        <v>65563433466.800865</v>
      </c>
      <c r="F107" s="2">
        <f>(nominal!F107/nominal!$I107)*100</f>
        <v>65489366596.216644</v>
      </c>
      <c r="G107" s="2">
        <f>(nominal!G107/nominal!$I107)*100</f>
        <v>60579756368.773888</v>
      </c>
    </row>
    <row r="108" spans="1:7" ht="16" x14ac:dyDescent="0.35">
      <c r="A108" s="5" t="s">
        <v>113</v>
      </c>
      <c r="B108" s="2">
        <f>nominal!H108</f>
        <v>318279080000</v>
      </c>
      <c r="C108" s="2">
        <f>(nominal!C108/nominal!$I108)*100</f>
        <v>203786161036.37158</v>
      </c>
      <c r="D108" s="2">
        <f>(nominal!D108/nominal!$I108)*100</f>
        <v>56834013720.872925</v>
      </c>
      <c r="E108" s="2">
        <f>(nominal!E108/nominal!$I108)*100</f>
        <v>59351583609.598396</v>
      </c>
      <c r="F108" s="2">
        <f>(nominal!F108/nominal!$I108)*100</f>
        <v>58529824892.210258</v>
      </c>
      <c r="G108" s="2">
        <f>(nominal!G108/nominal!$I108)*100</f>
        <v>56837146525.367371</v>
      </c>
    </row>
    <row r="109" spans="1:7" ht="16" x14ac:dyDescent="0.35">
      <c r="A109" s="5" t="s">
        <v>114</v>
      </c>
      <c r="B109" s="2">
        <f>nominal!H109</f>
        <v>322531840000</v>
      </c>
      <c r="C109" s="2">
        <f>(nominal!C109/nominal!$I109)*100</f>
        <v>204398660655.72574</v>
      </c>
      <c r="D109" s="2">
        <f>(nominal!D109/nominal!$I109)*100</f>
        <v>55002854289.090576</v>
      </c>
      <c r="E109" s="2">
        <f>(nominal!E109/nominal!$I109)*100</f>
        <v>58405472740.94175</v>
      </c>
      <c r="F109" s="2">
        <f>(nominal!F109/nominal!$I109)*100</f>
        <v>54383787418.824661</v>
      </c>
      <c r="G109" s="2">
        <f>(nominal!G109/nominal!$I109)*100</f>
        <v>59108639733.066559</v>
      </c>
    </row>
    <row r="110" spans="1:7" ht="16" x14ac:dyDescent="0.35">
      <c r="A110" s="5" t="s">
        <v>115</v>
      </c>
      <c r="B110" s="2">
        <f>nominal!H110</f>
        <v>325250180000</v>
      </c>
      <c r="C110" s="2">
        <f>(nominal!C110/nominal!$I110)*100</f>
        <v>201145625565.10168</v>
      </c>
      <c r="D110" s="2">
        <f>(nominal!D110/nominal!$I110)*100</f>
        <v>52950607197.156456</v>
      </c>
      <c r="E110" s="2">
        <f>(nominal!E110/nominal!$I110)*100</f>
        <v>60702722332.844505</v>
      </c>
      <c r="F110" s="2">
        <f>(nominal!F110/nominal!$I110)*100</f>
        <v>50477228145.557602</v>
      </c>
      <c r="G110" s="2">
        <f>(nominal!G110/nominal!$I110)*100</f>
        <v>60928453050.454987</v>
      </c>
    </row>
    <row r="111" spans="1:7" ht="16" x14ac:dyDescent="0.35">
      <c r="A111" s="5" t="s">
        <v>116</v>
      </c>
      <c r="B111" s="2">
        <f>nominal!H111</f>
        <v>325536810000</v>
      </c>
      <c r="C111" s="2">
        <f>(nominal!C111/nominal!$I111)*100</f>
        <v>205570322299.99875</v>
      </c>
      <c r="D111" s="2">
        <f>(nominal!D111/nominal!$I111)*100</f>
        <v>53463386090.823257</v>
      </c>
      <c r="E111" s="2">
        <f>(nominal!E111/nominal!$I111)*100</f>
        <v>58195782643.417725</v>
      </c>
      <c r="F111" s="2">
        <f>(nominal!F111/nominal!$I111)*100</f>
        <v>50082061718.445396</v>
      </c>
      <c r="G111" s="2">
        <f>(nominal!G111/nominal!$I111)*100</f>
        <v>58389380684.205688</v>
      </c>
    </row>
    <row r="112" spans="1:7" ht="16" x14ac:dyDescent="0.35">
      <c r="A112" s="5" t="s">
        <v>117</v>
      </c>
      <c r="B112" s="2">
        <f>nominal!H112</f>
        <v>326570890000</v>
      </c>
      <c r="C112" s="2">
        <f>(nominal!C112/nominal!$I112)*100</f>
        <v>206826334559.56635</v>
      </c>
      <c r="D112" s="2">
        <f>(nominal!D112/nominal!$I112)*100</f>
        <v>52072270421.337929</v>
      </c>
      <c r="E112" s="2">
        <f>(nominal!E112/nominal!$I112)*100</f>
        <v>56407513714.426506</v>
      </c>
      <c r="F112" s="2">
        <f>(nominal!F112/nominal!$I112)*100</f>
        <v>49373357226.807938</v>
      </c>
      <c r="G112" s="2">
        <f>(nominal!G112/nominal!$I112)*100</f>
        <v>60638128531.477142</v>
      </c>
    </row>
    <row r="113" spans="1:7" ht="16" x14ac:dyDescent="0.35">
      <c r="A113" s="6" t="s">
        <v>118</v>
      </c>
      <c r="B113" s="2">
        <f>nominal!H113</f>
        <v>329429510000</v>
      </c>
      <c r="C113" s="2">
        <f>(nominal!C113/nominal!$I113)*100</f>
        <v>212829028566.80957</v>
      </c>
      <c r="D113" s="2">
        <f>(nominal!D113/nominal!$I113)*100</f>
        <v>55100711042.979088</v>
      </c>
      <c r="E113" s="2">
        <f>(nominal!E113/nominal!$I113)*100</f>
        <v>54351202670.670494</v>
      </c>
      <c r="F113" s="2">
        <f>(nominal!F113/nominal!$I113)*100</f>
        <v>51473660070.790359</v>
      </c>
      <c r="G113" s="2">
        <f>(nominal!G113/nominal!$I113)*100</f>
        <v>58622227790.331253</v>
      </c>
    </row>
    <row r="114" spans="1:7" ht="16" x14ac:dyDescent="0.35">
      <c r="A114" s="5" t="s">
        <v>119</v>
      </c>
      <c r="B114" s="2">
        <f>nominal!H114</f>
        <v>334452810000</v>
      </c>
      <c r="C114" s="2">
        <f>(nominal!C114/nominal!$I114)*100</f>
        <v>209348985568.63565</v>
      </c>
      <c r="D114" s="2">
        <f>(nominal!D114/nominal!$I114)*100</f>
        <v>55523629984.513367</v>
      </c>
      <c r="E114" s="2">
        <f>(nominal!E114/nominal!$I114)*100</f>
        <v>61528424876.964447</v>
      </c>
      <c r="F114" s="2">
        <f>(nominal!F114/nominal!$I114)*100</f>
        <v>56533321224.532547</v>
      </c>
      <c r="G114" s="2">
        <f>(nominal!G114/nominal!$I114)*100</f>
        <v>64585090794.419052</v>
      </c>
    </row>
    <row r="115" spans="1:7" ht="16" x14ac:dyDescent="0.35">
      <c r="A115" s="5" t="s">
        <v>120</v>
      </c>
      <c r="B115" s="2">
        <f>nominal!H115</f>
        <v>337093760000</v>
      </c>
      <c r="C115" s="2">
        <f>(nominal!C115/nominal!$I115)*100</f>
        <v>216012471768.69696</v>
      </c>
      <c r="D115" s="2">
        <f>(nominal!D115/nominal!$I115)*100</f>
        <v>59392688083.379021</v>
      </c>
      <c r="E115" s="2">
        <f>(nominal!E115/nominal!$I115)*100</f>
        <v>63386294307.613632</v>
      </c>
      <c r="F115" s="2">
        <f>(nominal!F115/nominal!$I115)*100</f>
        <v>63784955919.292641</v>
      </c>
      <c r="G115" s="2">
        <f>(nominal!G115/nominal!$I115)*100</f>
        <v>62087261759.603035</v>
      </c>
    </row>
    <row r="116" spans="1:7" ht="16" x14ac:dyDescent="0.35">
      <c r="A116" s="5" t="s">
        <v>121</v>
      </c>
      <c r="B116" s="2">
        <f>nominal!H116</f>
        <v>337310860000</v>
      </c>
      <c r="C116" s="2">
        <f>(nominal!C116/nominal!$I116)*100</f>
        <v>215357617543.50696</v>
      </c>
      <c r="D116" s="2">
        <f>(nominal!D116/nominal!$I116)*100</f>
        <v>57840168231.720436</v>
      </c>
      <c r="E116" s="2">
        <f>(nominal!E116/nominal!$I116)*100</f>
        <v>61530654009.460556</v>
      </c>
      <c r="F116" s="2">
        <f>(nominal!F116/nominal!$I116)*100</f>
        <v>62147925041.717438</v>
      </c>
      <c r="G116" s="2">
        <f>(nominal!G116/nominal!$I116)*100</f>
        <v>64730345257.029434</v>
      </c>
    </row>
    <row r="117" spans="1:7" ht="16" x14ac:dyDescent="0.35">
      <c r="A117" s="5" t="s">
        <v>122</v>
      </c>
      <c r="B117" s="2">
        <f>nominal!H117</f>
        <v>341720830000</v>
      </c>
      <c r="C117" s="2">
        <f>(nominal!C117/nominal!$I117)*100</f>
        <v>218865135623.78729</v>
      </c>
      <c r="D117" s="2">
        <f>(nominal!D117/nominal!$I117)*100</f>
        <v>60711095324.086571</v>
      </c>
      <c r="E117" s="2">
        <f>(nominal!E117/nominal!$I117)*100</f>
        <v>60422629151.924828</v>
      </c>
      <c r="F117" s="2">
        <f>(nominal!F117/nominal!$I117)*100</f>
        <v>64334067483.987007</v>
      </c>
      <c r="G117" s="2">
        <f>(nominal!G117/nominal!$I117)*100</f>
        <v>66056037384.188332</v>
      </c>
    </row>
    <row r="118" spans="1:7" ht="16" x14ac:dyDescent="0.35">
      <c r="A118" s="7" t="s">
        <v>123</v>
      </c>
      <c r="B118" s="2">
        <f>nominal!H118</f>
        <v>342995480000</v>
      </c>
      <c r="C118" s="2">
        <f>(nominal!C118/nominal!$I118)*100</f>
        <v>213990862866.966</v>
      </c>
      <c r="D118" s="2">
        <f>(nominal!D118/nominal!$I118)*100</f>
        <v>57539977931.045761</v>
      </c>
      <c r="E118" s="2">
        <f>(nominal!E118/nominal!$I118)*100</f>
        <v>62768028699.074043</v>
      </c>
      <c r="F118" s="2">
        <f>(nominal!F118/nominal!$I118)*100</f>
        <v>59672831752.148804</v>
      </c>
      <c r="G118" s="2">
        <f>(nominal!G118/nominal!$I118)*100</f>
        <v>68369442255.062958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DE84B1-5A81-4E7F-965D-BA2A1B8AEA24}">
  <dimension ref="A1:M118"/>
  <sheetViews>
    <sheetView tabSelected="1" workbookViewId="0">
      <selection activeCell="I3" sqref="I3"/>
    </sheetView>
  </sheetViews>
  <sheetFormatPr defaultColWidth="11.453125" defaultRowHeight="14.5" x14ac:dyDescent="0.35"/>
  <cols>
    <col min="2" max="3" width="15.36328125" bestFit="1" customWidth="1"/>
    <col min="4" max="6" width="14.36328125" bestFit="1" customWidth="1"/>
    <col min="7" max="7" width="15.36328125" style="3" bestFit="1" customWidth="1"/>
    <col min="8" max="8" width="15.36328125" bestFit="1" customWidth="1"/>
    <col min="9" max="9" width="12.453125" bestFit="1" customWidth="1"/>
    <col min="10" max="10" width="13.36328125" bestFit="1" customWidth="1"/>
  </cols>
  <sheetData>
    <row r="1" spans="1:13" x14ac:dyDescent="0.35">
      <c r="A1" s="1" t="s">
        <v>0</v>
      </c>
      <c r="B1" t="s">
        <v>126</v>
      </c>
      <c r="C1" t="s">
        <v>2</v>
      </c>
      <c r="D1" t="s">
        <v>3</v>
      </c>
      <c r="E1" t="s">
        <v>5</v>
      </c>
      <c r="F1" t="s">
        <v>6</v>
      </c>
      <c r="G1" s="3" t="s">
        <v>4</v>
      </c>
      <c r="H1" t="s">
        <v>124</v>
      </c>
      <c r="I1" t="s">
        <v>125</v>
      </c>
    </row>
    <row r="2" spans="1:13" ht="16" x14ac:dyDescent="0.35">
      <c r="A2" s="5" t="s">
        <v>7</v>
      </c>
      <c r="B2" s="2">
        <v>204611000000</v>
      </c>
      <c r="C2" s="2">
        <v>132511000000</v>
      </c>
      <c r="D2" s="2">
        <v>39326000000</v>
      </c>
      <c r="E2" s="2">
        <v>14576000000</v>
      </c>
      <c r="F2" s="2">
        <v>17470000000</v>
      </c>
      <c r="G2" s="2">
        <f>B2-(C2+D2+E2-F2)</f>
        <v>35668000000</v>
      </c>
      <c r="H2" s="2">
        <v>177690190000</v>
      </c>
      <c r="I2">
        <f>B2/H2*100</f>
        <v>115.15041995284039</v>
      </c>
      <c r="J2" s="2"/>
      <c r="K2" s="2"/>
      <c r="M2" s="4"/>
    </row>
    <row r="3" spans="1:13" ht="16" x14ac:dyDescent="0.35">
      <c r="A3" s="5" t="s">
        <v>8</v>
      </c>
      <c r="B3" s="2">
        <v>221513000000</v>
      </c>
      <c r="C3" s="2">
        <v>142658000000</v>
      </c>
      <c r="D3" s="2">
        <v>41418000000</v>
      </c>
      <c r="E3" s="2">
        <v>15560000000</v>
      </c>
      <c r="F3" s="2">
        <v>20928000000</v>
      </c>
      <c r="G3" s="2">
        <f t="shared" ref="G3:G66" si="0">B3-(C3+D3+E3-F3)</f>
        <v>42805000000</v>
      </c>
      <c r="H3" s="2">
        <v>183826380000</v>
      </c>
      <c r="I3">
        <f t="shared" ref="I3:I66" si="1">B3/H3*100</f>
        <v>120.50120336373919</v>
      </c>
      <c r="J3" s="2"/>
      <c r="K3" s="2"/>
    </row>
    <row r="4" spans="1:13" ht="16" x14ac:dyDescent="0.35">
      <c r="A4" s="5" t="s">
        <v>9</v>
      </c>
      <c r="B4" s="2">
        <v>239316000000</v>
      </c>
      <c r="C4" s="2">
        <v>156087000000</v>
      </c>
      <c r="D4" s="2">
        <v>43187000000</v>
      </c>
      <c r="E4" s="2">
        <v>15085000000</v>
      </c>
      <c r="F4" s="2">
        <v>22949000000</v>
      </c>
      <c r="G4" s="2">
        <f t="shared" si="0"/>
        <v>47906000000</v>
      </c>
      <c r="H4" s="2">
        <v>182476100000</v>
      </c>
      <c r="I4">
        <f t="shared" si="1"/>
        <v>131.14922995395014</v>
      </c>
      <c r="J4" s="2"/>
      <c r="K4" s="2"/>
    </row>
    <row r="5" spans="1:13" ht="16" x14ac:dyDescent="0.35">
      <c r="A5" s="5" t="s">
        <v>10</v>
      </c>
      <c r="B5" s="2">
        <v>219117000000</v>
      </c>
      <c r="C5" s="2">
        <v>147808000000</v>
      </c>
      <c r="D5" s="2">
        <v>42697000000</v>
      </c>
      <c r="E5" s="2">
        <v>13162000000</v>
      </c>
      <c r="F5" s="2">
        <v>19333000000</v>
      </c>
      <c r="G5" s="2">
        <f t="shared" si="0"/>
        <v>34783000000</v>
      </c>
      <c r="H5" s="2">
        <v>184315580000</v>
      </c>
      <c r="I5">
        <f t="shared" si="1"/>
        <v>118.88143151002211</v>
      </c>
      <c r="J5" s="2"/>
      <c r="K5" s="2"/>
    </row>
    <row r="6" spans="1:13" ht="16" x14ac:dyDescent="0.35">
      <c r="A6" s="5" t="s">
        <v>11</v>
      </c>
      <c r="B6" s="2">
        <v>232890000000</v>
      </c>
      <c r="C6" s="2">
        <v>154447000000</v>
      </c>
      <c r="D6" s="2">
        <v>46189000000</v>
      </c>
      <c r="E6" s="2">
        <v>17402000000</v>
      </c>
      <c r="F6" s="2">
        <v>22570000000</v>
      </c>
      <c r="G6" s="2">
        <f t="shared" si="0"/>
        <v>37422000000</v>
      </c>
      <c r="H6" s="2">
        <v>185312210000</v>
      </c>
      <c r="I6">
        <f t="shared" si="1"/>
        <v>125.67439565908798</v>
      </c>
      <c r="J6" s="2"/>
      <c r="K6" s="2"/>
    </row>
    <row r="7" spans="1:13" ht="16" x14ac:dyDescent="0.35">
      <c r="A7" s="5" t="s">
        <v>12</v>
      </c>
      <c r="B7" s="2">
        <v>246178000000</v>
      </c>
      <c r="C7" s="2">
        <v>157598000000</v>
      </c>
      <c r="D7" s="2">
        <v>47287000000</v>
      </c>
      <c r="E7" s="2">
        <v>18529000000</v>
      </c>
      <c r="F7" s="2">
        <v>25171000000</v>
      </c>
      <c r="G7" s="2">
        <f t="shared" si="0"/>
        <v>47935000000</v>
      </c>
      <c r="H7" s="2">
        <v>187328000000</v>
      </c>
      <c r="I7">
        <f t="shared" si="1"/>
        <v>131.41548513836693</v>
      </c>
      <c r="J7" s="2"/>
      <c r="K7" s="2"/>
    </row>
    <row r="8" spans="1:13" ht="16" x14ac:dyDescent="0.35">
      <c r="A8" s="5" t="s">
        <v>13</v>
      </c>
      <c r="B8" s="2">
        <v>253904000000</v>
      </c>
      <c r="C8" s="2">
        <v>161954000000</v>
      </c>
      <c r="D8" s="2">
        <v>45894000000</v>
      </c>
      <c r="E8" s="2">
        <v>17398000000</v>
      </c>
      <c r="F8" s="2">
        <v>24255000000</v>
      </c>
      <c r="G8" s="2">
        <f t="shared" si="0"/>
        <v>52913000000</v>
      </c>
      <c r="H8" s="2">
        <v>189258840000</v>
      </c>
      <c r="I8">
        <f t="shared" si="1"/>
        <v>134.15700952198586</v>
      </c>
      <c r="J8" s="2"/>
      <c r="K8" s="2"/>
    </row>
    <row r="9" spans="1:13" ht="16" x14ac:dyDescent="0.35">
      <c r="A9" s="5" t="s">
        <v>14</v>
      </c>
      <c r="B9" s="2">
        <v>235701000000</v>
      </c>
      <c r="C9" s="2">
        <v>157103000000</v>
      </c>
      <c r="D9" s="2">
        <v>45595000000</v>
      </c>
      <c r="E9" s="2">
        <v>16099000000</v>
      </c>
      <c r="F9" s="2">
        <v>21714000000</v>
      </c>
      <c r="G9" s="2">
        <f t="shared" si="0"/>
        <v>38618000000</v>
      </c>
      <c r="H9" s="2">
        <v>185483860000</v>
      </c>
      <c r="I9">
        <f t="shared" si="1"/>
        <v>127.07359012261227</v>
      </c>
      <c r="J9" s="2"/>
      <c r="K9" s="2"/>
    </row>
    <row r="10" spans="1:13" ht="16" x14ac:dyDescent="0.35">
      <c r="A10" s="5" t="s">
        <v>15</v>
      </c>
      <c r="B10" s="2">
        <v>251936000000</v>
      </c>
      <c r="C10" s="2">
        <v>159194000000</v>
      </c>
      <c r="D10" s="2">
        <v>48379000000</v>
      </c>
      <c r="E10" s="2">
        <v>18805000000</v>
      </c>
      <c r="F10" s="2">
        <v>22896000000</v>
      </c>
      <c r="G10" s="2">
        <f t="shared" si="0"/>
        <v>48454000000</v>
      </c>
      <c r="H10" s="2">
        <v>188535100000</v>
      </c>
      <c r="I10">
        <f t="shared" si="1"/>
        <v>133.62816791143931</v>
      </c>
      <c r="J10" s="2"/>
      <c r="K10" s="2"/>
    </row>
    <row r="11" spans="1:13" ht="16" x14ac:dyDescent="0.35">
      <c r="A11" s="5" t="s">
        <v>16</v>
      </c>
      <c r="B11" s="2">
        <v>258043000000</v>
      </c>
      <c r="C11" s="2">
        <v>163447000000</v>
      </c>
      <c r="D11" s="2">
        <v>47636000000</v>
      </c>
      <c r="E11" s="2">
        <v>18786000000</v>
      </c>
      <c r="F11" s="2">
        <v>25366000000</v>
      </c>
      <c r="G11" s="2">
        <f t="shared" si="0"/>
        <v>53540000000</v>
      </c>
      <c r="H11" s="2">
        <v>188372010000</v>
      </c>
      <c r="I11">
        <f t="shared" si="1"/>
        <v>136.98585049870201</v>
      </c>
      <c r="J11" s="2"/>
      <c r="K11" s="2"/>
    </row>
    <row r="12" spans="1:13" ht="16" x14ac:dyDescent="0.35">
      <c r="A12" s="5" t="s">
        <v>17</v>
      </c>
      <c r="B12" s="2">
        <v>256671000000</v>
      </c>
      <c r="C12" s="2">
        <v>163187000000</v>
      </c>
      <c r="D12" s="2">
        <v>44249000000</v>
      </c>
      <c r="E12" s="2">
        <v>16781000000</v>
      </c>
      <c r="F12" s="2">
        <v>24326000000</v>
      </c>
      <c r="G12" s="2">
        <f t="shared" si="0"/>
        <v>56780000000</v>
      </c>
      <c r="H12" s="2">
        <v>186485540000</v>
      </c>
      <c r="I12">
        <f t="shared" si="1"/>
        <v>137.63587246496431</v>
      </c>
      <c r="J12" s="2"/>
      <c r="K12" s="2"/>
    </row>
    <row r="13" spans="1:13" ht="16" x14ac:dyDescent="0.35">
      <c r="A13" s="5" t="s">
        <v>18</v>
      </c>
      <c r="B13" s="2">
        <v>250668000000</v>
      </c>
      <c r="C13" s="2">
        <v>164893000000</v>
      </c>
      <c r="D13" s="2">
        <v>44121000000</v>
      </c>
      <c r="E13" s="2">
        <v>22153000000</v>
      </c>
      <c r="F13" s="2">
        <v>25847000000</v>
      </c>
      <c r="G13" s="2">
        <f t="shared" si="0"/>
        <v>45348000000</v>
      </c>
      <c r="H13" s="2">
        <v>186749880000</v>
      </c>
      <c r="I13">
        <f t="shared" si="1"/>
        <v>134.22659227411552</v>
      </c>
      <c r="J13" s="2"/>
      <c r="K13" s="2"/>
    </row>
    <row r="14" spans="1:13" ht="16" x14ac:dyDescent="0.35">
      <c r="A14" s="5" t="s">
        <v>19</v>
      </c>
      <c r="B14" s="2">
        <v>268709000000</v>
      </c>
      <c r="C14" s="2">
        <v>170252000000</v>
      </c>
      <c r="D14" s="2">
        <v>47152000000</v>
      </c>
      <c r="E14" s="2">
        <v>24728000000</v>
      </c>
      <c r="F14" s="2">
        <v>29001000000</v>
      </c>
      <c r="G14" s="2">
        <f t="shared" si="0"/>
        <v>55578000000</v>
      </c>
      <c r="H14" s="2">
        <v>187541790000</v>
      </c>
      <c r="I14">
        <f t="shared" si="1"/>
        <v>143.27953252445761</v>
      </c>
      <c r="J14" s="2"/>
      <c r="K14" s="2"/>
    </row>
    <row r="15" spans="1:13" ht="16" x14ac:dyDescent="0.35">
      <c r="A15" s="5" t="s">
        <v>20</v>
      </c>
      <c r="B15" s="2">
        <v>274126000000</v>
      </c>
      <c r="C15" s="2">
        <v>178811000000</v>
      </c>
      <c r="D15" s="2">
        <v>46383000000</v>
      </c>
      <c r="E15" s="2">
        <v>27646000000</v>
      </c>
      <c r="F15" s="2">
        <v>32971000000</v>
      </c>
      <c r="G15" s="2">
        <f t="shared" si="0"/>
        <v>54257000000</v>
      </c>
      <c r="H15" s="2">
        <v>187757230000</v>
      </c>
      <c r="I15">
        <f t="shared" si="1"/>
        <v>146.00023658210125</v>
      </c>
      <c r="J15" s="2"/>
      <c r="K15" s="2"/>
    </row>
    <row r="16" spans="1:13" ht="16" x14ac:dyDescent="0.35">
      <c r="A16" s="5" t="s">
        <v>21</v>
      </c>
      <c r="B16" s="2">
        <v>294208000000</v>
      </c>
      <c r="C16" s="2">
        <v>189576000000</v>
      </c>
      <c r="D16" s="2">
        <v>47432000000</v>
      </c>
      <c r="E16" s="2">
        <v>29511000000</v>
      </c>
      <c r="F16" s="2">
        <v>36368000000</v>
      </c>
      <c r="G16" s="2">
        <f t="shared" si="0"/>
        <v>64057000000</v>
      </c>
      <c r="H16" s="2">
        <v>190334760000</v>
      </c>
      <c r="I16">
        <f t="shared" si="1"/>
        <v>154.5739727204847</v>
      </c>
      <c r="J16" s="2"/>
      <c r="K16" s="2"/>
    </row>
    <row r="17" spans="1:11" ht="16" x14ac:dyDescent="0.35">
      <c r="A17" s="5" t="s">
        <v>22</v>
      </c>
      <c r="B17" s="2">
        <v>276927000000</v>
      </c>
      <c r="C17" s="2">
        <v>176025000000</v>
      </c>
      <c r="D17" s="2">
        <v>56887000000</v>
      </c>
      <c r="E17" s="2">
        <v>26402000000</v>
      </c>
      <c r="F17" s="2">
        <v>31107000000</v>
      </c>
      <c r="G17" s="2">
        <f t="shared" si="0"/>
        <v>48720000000</v>
      </c>
      <c r="H17" s="2">
        <v>192373820000</v>
      </c>
      <c r="I17">
        <f t="shared" si="1"/>
        <v>143.95253990381852</v>
      </c>
      <c r="J17" s="2"/>
      <c r="K17" s="2"/>
    </row>
    <row r="18" spans="1:11" ht="16" x14ac:dyDescent="0.35">
      <c r="A18" s="5" t="s">
        <v>23</v>
      </c>
      <c r="B18" s="2">
        <v>292789000000</v>
      </c>
      <c r="C18" s="2">
        <v>189996000000</v>
      </c>
      <c r="D18" s="2">
        <v>53911000000</v>
      </c>
      <c r="E18" s="2">
        <v>30239000000</v>
      </c>
      <c r="F18" s="2">
        <v>34983000000</v>
      </c>
      <c r="G18" s="2">
        <f t="shared" si="0"/>
        <v>53626000000</v>
      </c>
      <c r="H18" s="2">
        <v>194949510000</v>
      </c>
      <c r="I18">
        <f t="shared" si="1"/>
        <v>150.18709203218822</v>
      </c>
      <c r="J18" s="2"/>
      <c r="K18" s="2"/>
    </row>
    <row r="19" spans="1:11" ht="16" x14ac:dyDescent="0.35">
      <c r="A19" s="5" t="s">
        <v>24</v>
      </c>
      <c r="B19" s="2">
        <v>308896000000</v>
      </c>
      <c r="C19" s="2">
        <v>200012000000</v>
      </c>
      <c r="D19" s="2">
        <v>53879000000</v>
      </c>
      <c r="E19" s="2">
        <v>33768000000</v>
      </c>
      <c r="F19" s="2">
        <v>40155000000</v>
      </c>
      <c r="G19" s="2">
        <f t="shared" si="0"/>
        <v>61392000000</v>
      </c>
      <c r="H19" s="2">
        <v>197578770000</v>
      </c>
      <c r="I19">
        <f t="shared" si="1"/>
        <v>156.34068376880774</v>
      </c>
      <c r="J19" s="2"/>
      <c r="K19" s="2"/>
    </row>
    <row r="20" spans="1:11" ht="16" x14ac:dyDescent="0.35">
      <c r="A20" s="5" t="s">
        <v>25</v>
      </c>
      <c r="B20" s="2">
        <v>320481000000</v>
      </c>
      <c r="C20" s="2">
        <v>208493000000</v>
      </c>
      <c r="D20" s="2">
        <v>54811000000</v>
      </c>
      <c r="E20" s="2">
        <v>31756000000</v>
      </c>
      <c r="F20" s="2">
        <v>43062000000</v>
      </c>
      <c r="G20" s="2">
        <f t="shared" si="0"/>
        <v>68483000000</v>
      </c>
      <c r="H20" s="2">
        <v>199816420000</v>
      </c>
      <c r="I20">
        <f t="shared" si="1"/>
        <v>160.38771988808526</v>
      </c>
      <c r="J20" s="2"/>
      <c r="K20" s="2"/>
    </row>
    <row r="21" spans="1:11" ht="16" x14ac:dyDescent="0.35">
      <c r="A21" s="5" t="s">
        <v>26</v>
      </c>
      <c r="B21" s="2">
        <v>312470000000</v>
      </c>
      <c r="C21" s="2">
        <v>203369000000</v>
      </c>
      <c r="D21" s="2">
        <v>61689000000</v>
      </c>
      <c r="E21" s="2">
        <v>33576000000</v>
      </c>
      <c r="F21" s="2">
        <v>42902000000</v>
      </c>
      <c r="G21" s="2">
        <f t="shared" si="0"/>
        <v>56738000000</v>
      </c>
      <c r="H21" s="2">
        <v>200362680000</v>
      </c>
      <c r="I21">
        <f t="shared" si="1"/>
        <v>155.95219628725269</v>
      </c>
      <c r="J21" s="2"/>
      <c r="K21" s="2"/>
    </row>
    <row r="22" spans="1:11" ht="16" x14ac:dyDescent="0.35">
      <c r="A22" s="5" t="s">
        <v>27</v>
      </c>
      <c r="B22" s="2">
        <v>323724000000</v>
      </c>
      <c r="C22" s="2">
        <v>210284000000</v>
      </c>
      <c r="D22" s="2">
        <v>62067000000</v>
      </c>
      <c r="E22" s="2">
        <v>40837000000</v>
      </c>
      <c r="F22" s="2">
        <v>48577000000</v>
      </c>
      <c r="G22" s="2">
        <f t="shared" si="0"/>
        <v>59113000000</v>
      </c>
      <c r="H22" s="2">
        <v>199602420000</v>
      </c>
      <c r="I22">
        <f t="shared" si="1"/>
        <v>162.18440638144565</v>
      </c>
      <c r="J22" s="2"/>
      <c r="K22" s="2"/>
    </row>
    <row r="23" spans="1:11" ht="16" x14ac:dyDescent="0.35">
      <c r="A23" s="5" t="s">
        <v>28</v>
      </c>
      <c r="B23" s="2">
        <v>332524000000</v>
      </c>
      <c r="C23" s="2">
        <v>211486000000</v>
      </c>
      <c r="D23" s="2">
        <v>60427000000</v>
      </c>
      <c r="E23" s="2">
        <v>45701000000</v>
      </c>
      <c r="F23" s="2">
        <v>51523000000</v>
      </c>
      <c r="G23" s="2">
        <f t="shared" si="0"/>
        <v>66433000000</v>
      </c>
      <c r="H23" s="2">
        <v>198687480000</v>
      </c>
      <c r="I23">
        <f t="shared" si="1"/>
        <v>167.36031882834288</v>
      </c>
      <c r="J23" s="2"/>
      <c r="K23" s="2"/>
    </row>
    <row r="24" spans="1:11" ht="16" x14ac:dyDescent="0.35">
      <c r="A24" s="5" t="s">
        <v>29</v>
      </c>
      <c r="B24" s="2">
        <v>347038000000</v>
      </c>
      <c r="C24" s="2">
        <v>218362000000</v>
      </c>
      <c r="D24" s="2">
        <v>58153000000</v>
      </c>
      <c r="E24" s="2">
        <v>42667000000</v>
      </c>
      <c r="F24" s="2">
        <v>48633000000</v>
      </c>
      <c r="G24" s="2">
        <f t="shared" si="0"/>
        <v>76489000000</v>
      </c>
      <c r="H24" s="2">
        <v>197796930000</v>
      </c>
      <c r="I24">
        <f t="shared" si="1"/>
        <v>175.45166145905299</v>
      </c>
      <c r="J24" s="2"/>
      <c r="K24" s="2"/>
    </row>
    <row r="25" spans="1:11" ht="16" x14ac:dyDescent="0.35">
      <c r="A25" s="5" t="s">
        <v>30</v>
      </c>
      <c r="B25" s="2">
        <v>342297000000</v>
      </c>
      <c r="C25" s="2">
        <v>215913000000</v>
      </c>
      <c r="D25" s="2">
        <v>62806000000</v>
      </c>
      <c r="E25" s="2">
        <v>34812000000</v>
      </c>
      <c r="F25" s="2">
        <v>38735000000</v>
      </c>
      <c r="G25" s="2">
        <f t="shared" si="0"/>
        <v>67501000000</v>
      </c>
      <c r="H25" s="2">
        <v>202810680000</v>
      </c>
      <c r="I25">
        <f t="shared" si="1"/>
        <v>168.7766147226566</v>
      </c>
      <c r="J25" s="2"/>
      <c r="K25" s="2"/>
    </row>
    <row r="26" spans="1:11" ht="16" x14ac:dyDescent="0.35">
      <c r="A26" s="5" t="s">
        <v>31</v>
      </c>
      <c r="B26" s="2">
        <v>367363000000</v>
      </c>
      <c r="C26" s="2">
        <v>225796000000</v>
      </c>
      <c r="D26" s="2">
        <v>65569000000</v>
      </c>
      <c r="E26" s="2">
        <v>38896000000</v>
      </c>
      <c r="F26" s="2">
        <v>42244000000</v>
      </c>
      <c r="G26" s="2">
        <f t="shared" si="0"/>
        <v>79346000000</v>
      </c>
      <c r="H26" s="2">
        <v>203497950000</v>
      </c>
      <c r="I26">
        <f t="shared" si="1"/>
        <v>180.52417727058184</v>
      </c>
      <c r="J26" s="2"/>
      <c r="K26" s="2"/>
    </row>
    <row r="27" spans="1:11" ht="16" x14ac:dyDescent="0.35">
      <c r="A27" s="5" t="s">
        <v>32</v>
      </c>
      <c r="B27" s="2">
        <v>379795000000</v>
      </c>
      <c r="C27" s="2">
        <v>233655000000</v>
      </c>
      <c r="D27" s="2">
        <v>67912000000</v>
      </c>
      <c r="E27" s="2">
        <v>65894000000</v>
      </c>
      <c r="F27" s="2">
        <v>56182000000</v>
      </c>
      <c r="G27" s="2">
        <f t="shared" si="0"/>
        <v>68516000000</v>
      </c>
      <c r="H27" s="2">
        <v>206108180000</v>
      </c>
      <c r="I27">
        <f t="shared" si="1"/>
        <v>184.26973640735656</v>
      </c>
    </row>
    <row r="28" spans="1:11" ht="16" x14ac:dyDescent="0.35">
      <c r="A28" s="5" t="s">
        <v>33</v>
      </c>
      <c r="B28">
        <v>399333000000</v>
      </c>
      <c r="C28">
        <v>246172000000</v>
      </c>
      <c r="D28">
        <v>70596000000</v>
      </c>
      <c r="E28">
        <v>72262000000</v>
      </c>
      <c r="F28">
        <v>62154000000</v>
      </c>
      <c r="G28" s="2">
        <f t="shared" si="0"/>
        <v>72457000000</v>
      </c>
      <c r="H28">
        <v>208117360000</v>
      </c>
      <c r="I28">
        <f t="shared" si="1"/>
        <v>191.87875533304862</v>
      </c>
    </row>
    <row r="29" spans="1:11" ht="16" x14ac:dyDescent="0.35">
      <c r="A29" s="5" t="s">
        <v>34</v>
      </c>
      <c r="B29">
        <v>397242000000</v>
      </c>
      <c r="C29">
        <v>257432000000</v>
      </c>
      <c r="D29">
        <v>70262000000</v>
      </c>
      <c r="E29">
        <v>63031000000</v>
      </c>
      <c r="F29">
        <v>58016000000</v>
      </c>
      <c r="G29" s="2">
        <f t="shared" si="0"/>
        <v>64533000000</v>
      </c>
      <c r="H29">
        <v>207387100000</v>
      </c>
      <c r="I29">
        <f t="shared" si="1"/>
        <v>191.54614727724143</v>
      </c>
    </row>
    <row r="30" spans="1:11" ht="16" x14ac:dyDescent="0.35">
      <c r="A30" s="5" t="s">
        <v>35</v>
      </c>
      <c r="B30">
        <v>418987000000</v>
      </c>
      <c r="C30">
        <v>260277000000</v>
      </c>
      <c r="D30">
        <v>68696000000</v>
      </c>
      <c r="E30">
        <v>62162000000</v>
      </c>
      <c r="F30">
        <v>52474000000</v>
      </c>
      <c r="G30" s="2">
        <f t="shared" si="0"/>
        <v>80326000000</v>
      </c>
      <c r="H30">
        <v>205691230000</v>
      </c>
      <c r="I30">
        <f t="shared" si="1"/>
        <v>203.69706574266678</v>
      </c>
    </row>
    <row r="31" spans="1:11" ht="16" x14ac:dyDescent="0.35">
      <c r="A31" s="5" t="s">
        <v>36</v>
      </c>
      <c r="B31">
        <v>439350000000</v>
      </c>
      <c r="C31">
        <v>267445000000</v>
      </c>
      <c r="D31">
        <v>71785000000</v>
      </c>
      <c r="E31">
        <v>66754000000</v>
      </c>
      <c r="F31">
        <v>54391000000</v>
      </c>
      <c r="G31" s="2">
        <f t="shared" si="0"/>
        <v>87757000000</v>
      </c>
      <c r="H31">
        <v>207468770000</v>
      </c>
      <c r="I31">
        <f t="shared" si="1"/>
        <v>211.76681193993679</v>
      </c>
    </row>
    <row r="32" spans="1:11" ht="16" x14ac:dyDescent="0.35">
      <c r="A32" s="5" t="s">
        <v>37</v>
      </c>
      <c r="B32">
        <v>462372000000</v>
      </c>
      <c r="C32">
        <v>277306000000</v>
      </c>
      <c r="D32">
        <v>74519000000</v>
      </c>
      <c r="E32">
        <v>68852000000</v>
      </c>
      <c r="F32">
        <v>57759000000</v>
      </c>
      <c r="G32" s="2">
        <f t="shared" si="0"/>
        <v>99454000000</v>
      </c>
      <c r="H32">
        <v>209582440000</v>
      </c>
      <c r="I32">
        <f t="shared" si="1"/>
        <v>220.61581113379538</v>
      </c>
    </row>
    <row r="33" spans="1:9" ht="16" x14ac:dyDescent="0.35">
      <c r="A33" s="5" t="s">
        <v>38</v>
      </c>
      <c r="B33">
        <v>444783000000</v>
      </c>
      <c r="C33">
        <v>274159000000</v>
      </c>
      <c r="D33">
        <v>76797000000</v>
      </c>
      <c r="E33">
        <v>66313000000</v>
      </c>
      <c r="F33">
        <v>54670000000</v>
      </c>
      <c r="G33" s="2">
        <f t="shared" si="0"/>
        <v>82184000000</v>
      </c>
      <c r="H33">
        <v>212673400000</v>
      </c>
      <c r="I33">
        <f t="shared" si="1"/>
        <v>209.13898964327461</v>
      </c>
    </row>
    <row r="34" spans="1:9" ht="16" x14ac:dyDescent="0.35">
      <c r="A34" s="5" t="s">
        <v>39</v>
      </c>
      <c r="B34">
        <v>481795000000</v>
      </c>
      <c r="C34">
        <v>284833000000</v>
      </c>
      <c r="D34">
        <v>83337000000</v>
      </c>
      <c r="E34">
        <v>82950000000</v>
      </c>
      <c r="F34">
        <v>63518000000</v>
      </c>
      <c r="G34" s="2">
        <f t="shared" si="0"/>
        <v>94193000000</v>
      </c>
      <c r="H34">
        <v>218393090000</v>
      </c>
      <c r="I34">
        <f t="shared" si="1"/>
        <v>220.6090861208109</v>
      </c>
    </row>
    <row r="35" spans="1:9" ht="16" x14ac:dyDescent="0.35">
      <c r="A35" s="5" t="s">
        <v>40</v>
      </c>
      <c r="B35">
        <v>505252000000</v>
      </c>
      <c r="C35">
        <v>301881000000</v>
      </c>
      <c r="D35">
        <v>90684000000</v>
      </c>
      <c r="E35">
        <v>90341000000</v>
      </c>
      <c r="F35">
        <v>69346000000</v>
      </c>
      <c r="G35" s="2">
        <f t="shared" si="0"/>
        <v>91692000000</v>
      </c>
      <c r="H35">
        <v>221200860000</v>
      </c>
      <c r="I35">
        <f t="shared" si="1"/>
        <v>228.41321683830705</v>
      </c>
    </row>
    <row r="36" spans="1:9" ht="16" x14ac:dyDescent="0.35">
      <c r="A36" s="5" t="s">
        <v>41</v>
      </c>
      <c r="B36">
        <v>525920000000</v>
      </c>
      <c r="C36">
        <v>317821000000</v>
      </c>
      <c r="D36">
        <v>88268000000</v>
      </c>
      <c r="E36">
        <v>84321000000</v>
      </c>
      <c r="F36">
        <v>69567000000</v>
      </c>
      <c r="G36" s="2">
        <f t="shared" si="0"/>
        <v>105077000000</v>
      </c>
      <c r="H36">
        <v>222946600000</v>
      </c>
      <c r="I36">
        <f t="shared" si="1"/>
        <v>235.89505289607467</v>
      </c>
    </row>
    <row r="37" spans="1:9" ht="16" x14ac:dyDescent="0.35">
      <c r="A37" s="5" t="s">
        <v>42</v>
      </c>
      <c r="B37">
        <v>499710000000</v>
      </c>
      <c r="C37">
        <v>308544000000</v>
      </c>
      <c r="D37">
        <v>85394000000</v>
      </c>
      <c r="E37">
        <v>77093000000</v>
      </c>
      <c r="F37">
        <v>61656000000</v>
      </c>
      <c r="G37" s="2">
        <f t="shared" si="0"/>
        <v>90335000000</v>
      </c>
      <c r="H37">
        <v>224809490000</v>
      </c>
      <c r="I37">
        <f t="shared" si="1"/>
        <v>222.28154158438772</v>
      </c>
    </row>
    <row r="38" spans="1:9" ht="16" x14ac:dyDescent="0.35">
      <c r="A38" s="5" t="s">
        <v>43</v>
      </c>
      <c r="B38">
        <v>535557000000</v>
      </c>
      <c r="C38">
        <v>321752000000</v>
      </c>
      <c r="D38">
        <v>92729000000</v>
      </c>
      <c r="E38">
        <v>82694000000</v>
      </c>
      <c r="F38">
        <v>64902000000</v>
      </c>
      <c r="G38" s="2">
        <f t="shared" si="0"/>
        <v>103284000000</v>
      </c>
      <c r="H38">
        <v>227193710000</v>
      </c>
      <c r="I38">
        <f t="shared" si="1"/>
        <v>235.7270366331885</v>
      </c>
    </row>
    <row r="39" spans="1:9" ht="16" x14ac:dyDescent="0.35">
      <c r="A39" s="5" t="s">
        <v>44</v>
      </c>
      <c r="B39">
        <v>552859000000</v>
      </c>
      <c r="C39">
        <v>332896000000</v>
      </c>
      <c r="D39">
        <v>96634000000</v>
      </c>
      <c r="E39">
        <v>88087000000</v>
      </c>
      <c r="F39">
        <v>66125000000</v>
      </c>
      <c r="G39" s="2">
        <f t="shared" si="0"/>
        <v>101367000000</v>
      </c>
      <c r="H39">
        <v>226022630000</v>
      </c>
      <c r="I39">
        <f t="shared" si="1"/>
        <v>244.60338329838919</v>
      </c>
    </row>
    <row r="40" spans="1:9" ht="16" x14ac:dyDescent="0.35">
      <c r="A40" s="5" t="s">
        <v>45</v>
      </c>
      <c r="B40">
        <v>582458000000</v>
      </c>
      <c r="C40">
        <v>350104000000</v>
      </c>
      <c r="D40">
        <v>95462000000</v>
      </c>
      <c r="E40">
        <v>83006000000</v>
      </c>
      <c r="F40">
        <v>64378000000</v>
      </c>
      <c r="G40" s="2">
        <f t="shared" si="0"/>
        <v>118264000000</v>
      </c>
      <c r="H40">
        <v>228972240000</v>
      </c>
      <c r="I40">
        <f t="shared" si="1"/>
        <v>254.37930816416872</v>
      </c>
    </row>
    <row r="41" spans="1:9" ht="16" x14ac:dyDescent="0.35">
      <c r="A41" s="5" t="s">
        <v>46</v>
      </c>
      <c r="B41">
        <v>554270000000</v>
      </c>
      <c r="C41">
        <v>345002000000</v>
      </c>
      <c r="D41">
        <v>96723000000</v>
      </c>
      <c r="E41">
        <v>76051000000</v>
      </c>
      <c r="F41">
        <v>62790000000</v>
      </c>
      <c r="G41" s="2">
        <f t="shared" si="0"/>
        <v>99284000000</v>
      </c>
      <c r="H41">
        <v>232298240000</v>
      </c>
      <c r="I41">
        <f t="shared" si="1"/>
        <v>238.60275480348022</v>
      </c>
    </row>
    <row r="42" spans="1:9" ht="16" x14ac:dyDescent="0.35">
      <c r="A42" s="5" t="s">
        <v>47</v>
      </c>
      <c r="B42">
        <v>581977000000</v>
      </c>
      <c r="C42">
        <v>355817000000</v>
      </c>
      <c r="D42">
        <v>100733000000</v>
      </c>
      <c r="E42">
        <v>79742000000</v>
      </c>
      <c r="F42">
        <v>66712000000</v>
      </c>
      <c r="G42" s="2">
        <f t="shared" si="0"/>
        <v>112397000000</v>
      </c>
      <c r="H42">
        <v>233259460000</v>
      </c>
      <c r="I42">
        <f t="shared" si="1"/>
        <v>249.49770525919934</v>
      </c>
    </row>
    <row r="43" spans="1:9" ht="16" x14ac:dyDescent="0.35">
      <c r="A43" s="5" t="s">
        <v>48</v>
      </c>
      <c r="B43">
        <v>617848000000</v>
      </c>
      <c r="C43">
        <v>368734000000</v>
      </c>
      <c r="D43">
        <v>108368000000</v>
      </c>
      <c r="E43">
        <v>98608000000</v>
      </c>
      <c r="F43">
        <v>76558000000</v>
      </c>
      <c r="G43" s="2">
        <f t="shared" si="0"/>
        <v>118696000000</v>
      </c>
      <c r="H43">
        <v>237182690000</v>
      </c>
      <c r="I43">
        <f t="shared" si="1"/>
        <v>260.49455801348745</v>
      </c>
    </row>
    <row r="44" spans="1:9" ht="16" x14ac:dyDescent="0.35">
      <c r="A44" s="5" t="s">
        <v>49</v>
      </c>
      <c r="B44">
        <v>655355000000</v>
      </c>
      <c r="C44">
        <v>386663000000</v>
      </c>
      <c r="D44">
        <v>108850000000</v>
      </c>
      <c r="E44">
        <v>91941000000</v>
      </c>
      <c r="F44">
        <v>75060000000</v>
      </c>
      <c r="G44" s="2">
        <f t="shared" si="0"/>
        <v>142961000000</v>
      </c>
      <c r="H44">
        <v>240046460000</v>
      </c>
      <c r="I44">
        <f t="shared" si="1"/>
        <v>273.01173281205649</v>
      </c>
    </row>
    <row r="45" spans="1:9" ht="16" x14ac:dyDescent="0.35">
      <c r="A45" s="5" t="s">
        <v>50</v>
      </c>
      <c r="B45">
        <v>631423000000</v>
      </c>
      <c r="C45">
        <v>384999000000</v>
      </c>
      <c r="D45">
        <v>109267000000</v>
      </c>
      <c r="E45">
        <v>85074000000</v>
      </c>
      <c r="F45">
        <v>75983000000</v>
      </c>
      <c r="G45" s="2">
        <f t="shared" si="0"/>
        <v>128066000000</v>
      </c>
      <c r="H45">
        <v>244278390000</v>
      </c>
      <c r="I45">
        <f t="shared" si="1"/>
        <v>258.48500147720802</v>
      </c>
    </row>
    <row r="46" spans="1:9" ht="16" x14ac:dyDescent="0.35">
      <c r="A46" s="5" t="s">
        <v>51</v>
      </c>
      <c r="B46">
        <v>670655000000</v>
      </c>
      <c r="C46">
        <v>400751000000</v>
      </c>
      <c r="D46">
        <v>119167000000</v>
      </c>
      <c r="E46">
        <v>89585000000</v>
      </c>
      <c r="F46">
        <v>77520000000</v>
      </c>
      <c r="G46" s="2">
        <f t="shared" si="0"/>
        <v>138672000000</v>
      </c>
      <c r="H46">
        <v>248568880000</v>
      </c>
      <c r="I46">
        <f t="shared" si="1"/>
        <v>269.80650192413469</v>
      </c>
    </row>
    <row r="47" spans="1:9" ht="16" x14ac:dyDescent="0.35">
      <c r="A47" s="5" t="s">
        <v>52</v>
      </c>
      <c r="B47">
        <v>691846000000</v>
      </c>
      <c r="C47">
        <v>410354000000</v>
      </c>
      <c r="D47">
        <v>129921000000</v>
      </c>
      <c r="E47">
        <v>95807000000</v>
      </c>
      <c r="F47">
        <v>85912000000</v>
      </c>
      <c r="G47" s="2">
        <f t="shared" si="0"/>
        <v>141676000000</v>
      </c>
      <c r="H47">
        <v>251118080000</v>
      </c>
      <c r="I47">
        <f t="shared" si="1"/>
        <v>275.50624789740345</v>
      </c>
    </row>
    <row r="48" spans="1:9" ht="16" x14ac:dyDescent="0.35">
      <c r="A48" s="5" t="s">
        <v>53</v>
      </c>
      <c r="B48">
        <v>726339000000</v>
      </c>
      <c r="C48">
        <v>432652000000</v>
      </c>
      <c r="D48">
        <v>131177000000</v>
      </c>
      <c r="E48">
        <v>92083000000</v>
      </c>
      <c r="F48">
        <v>86063000000</v>
      </c>
      <c r="G48" s="2">
        <f t="shared" si="0"/>
        <v>156490000000</v>
      </c>
      <c r="H48">
        <v>254801620000</v>
      </c>
      <c r="I48">
        <f t="shared" si="1"/>
        <v>285.06058948918769</v>
      </c>
    </row>
    <row r="49" spans="1:9" ht="16" x14ac:dyDescent="0.35">
      <c r="A49" s="5" t="s">
        <v>54</v>
      </c>
      <c r="B49">
        <v>712055000000</v>
      </c>
      <c r="C49">
        <v>433753000000</v>
      </c>
      <c r="D49">
        <v>132371000000</v>
      </c>
      <c r="E49">
        <v>80459000000</v>
      </c>
      <c r="F49">
        <v>86426000000</v>
      </c>
      <c r="G49" s="2">
        <f t="shared" si="0"/>
        <v>151898000000</v>
      </c>
      <c r="H49">
        <v>258191960000</v>
      </c>
      <c r="I49">
        <f t="shared" si="1"/>
        <v>275.78511739869822</v>
      </c>
    </row>
    <row r="50" spans="1:9" ht="16" x14ac:dyDescent="0.35">
      <c r="A50" s="5" t="s">
        <v>55</v>
      </c>
      <c r="B50">
        <v>769525000000</v>
      </c>
      <c r="C50">
        <v>456473000000</v>
      </c>
      <c r="D50">
        <v>147733000000</v>
      </c>
      <c r="E50">
        <v>98393000000</v>
      </c>
      <c r="F50">
        <v>98761000000</v>
      </c>
      <c r="G50" s="2">
        <f t="shared" si="0"/>
        <v>165687000000</v>
      </c>
      <c r="H50">
        <v>263436140000</v>
      </c>
      <c r="I50">
        <f t="shared" si="1"/>
        <v>292.1106420705982</v>
      </c>
    </row>
    <row r="51" spans="1:9" ht="16" x14ac:dyDescent="0.35">
      <c r="A51" s="5" t="s">
        <v>56</v>
      </c>
      <c r="B51">
        <v>812603000000</v>
      </c>
      <c r="C51">
        <v>480468000000</v>
      </c>
      <c r="D51">
        <v>168886000000</v>
      </c>
      <c r="E51">
        <v>115435000000</v>
      </c>
      <c r="F51">
        <v>114297000000</v>
      </c>
      <c r="G51" s="2">
        <f t="shared" si="0"/>
        <v>162111000000</v>
      </c>
      <c r="H51">
        <v>267479530000.00003</v>
      </c>
      <c r="I51">
        <f t="shared" si="1"/>
        <v>303.80007023341187</v>
      </c>
    </row>
    <row r="52" spans="1:9" ht="16" x14ac:dyDescent="0.35">
      <c r="A52" s="5" t="s">
        <v>57</v>
      </c>
      <c r="B52">
        <v>815620000000</v>
      </c>
      <c r="C52">
        <v>486816000000</v>
      </c>
      <c r="D52">
        <v>153856000000</v>
      </c>
      <c r="E52">
        <v>126594000000</v>
      </c>
      <c r="F52">
        <v>127292000000</v>
      </c>
      <c r="G52" s="2">
        <f t="shared" si="0"/>
        <v>175646000000</v>
      </c>
      <c r="H52">
        <v>257466810000</v>
      </c>
      <c r="I52">
        <f t="shared" si="1"/>
        <v>316.78646269008419</v>
      </c>
    </row>
    <row r="53" spans="1:9" ht="16" x14ac:dyDescent="0.35">
      <c r="A53" s="5" t="s">
        <v>58</v>
      </c>
      <c r="B53">
        <v>756127000000</v>
      </c>
      <c r="C53">
        <v>474264000000</v>
      </c>
      <c r="D53">
        <v>134945000000</v>
      </c>
      <c r="E53">
        <v>87415000000</v>
      </c>
      <c r="F53">
        <v>93767000000</v>
      </c>
      <c r="G53" s="2">
        <f t="shared" si="0"/>
        <v>153270000000</v>
      </c>
      <c r="H53">
        <v>253968610000</v>
      </c>
      <c r="I53">
        <f t="shared" si="1"/>
        <v>297.72458887734194</v>
      </c>
    </row>
    <row r="54" spans="1:9" ht="16" x14ac:dyDescent="0.35">
      <c r="A54" s="5" t="s">
        <v>59</v>
      </c>
      <c r="B54">
        <v>803577000000</v>
      </c>
      <c r="C54">
        <v>504220000000</v>
      </c>
      <c r="D54">
        <v>147362000000</v>
      </c>
      <c r="E54">
        <v>93900000000</v>
      </c>
      <c r="F54">
        <v>88904000000</v>
      </c>
      <c r="G54" s="2">
        <f t="shared" si="0"/>
        <v>146999000000</v>
      </c>
      <c r="H54">
        <v>258509160000</v>
      </c>
      <c r="I54">
        <f t="shared" si="1"/>
        <v>310.85049365368718</v>
      </c>
    </row>
    <row r="55" spans="1:9" ht="16" x14ac:dyDescent="0.35">
      <c r="A55" s="5" t="s">
        <v>60</v>
      </c>
      <c r="B55">
        <v>852843000000</v>
      </c>
      <c r="C55">
        <v>534397000000</v>
      </c>
      <c r="D55">
        <v>172382000000</v>
      </c>
      <c r="E55">
        <v>92906000000</v>
      </c>
      <c r="F55">
        <v>95863000000</v>
      </c>
      <c r="G55" s="2">
        <f t="shared" si="0"/>
        <v>149021000000</v>
      </c>
      <c r="H55">
        <v>264610469999.99997</v>
      </c>
      <c r="I55">
        <f t="shared" si="1"/>
        <v>322.30130576465854</v>
      </c>
    </row>
    <row r="56" spans="1:9" ht="16" x14ac:dyDescent="0.35">
      <c r="A56" s="5" t="s">
        <v>61</v>
      </c>
      <c r="B56">
        <v>920492000000</v>
      </c>
      <c r="C56">
        <v>552152000000</v>
      </c>
      <c r="D56">
        <v>181988000000</v>
      </c>
      <c r="E56">
        <v>87460000000</v>
      </c>
      <c r="F56">
        <v>96585000000</v>
      </c>
      <c r="G56" s="2">
        <f t="shared" si="0"/>
        <v>195477000000</v>
      </c>
      <c r="H56">
        <v>271268599999.99997</v>
      </c>
      <c r="I56">
        <f t="shared" si="1"/>
        <v>339.32862115261406</v>
      </c>
    </row>
    <row r="57" spans="1:9" ht="16" x14ac:dyDescent="0.35">
      <c r="A57" s="5" t="s">
        <v>62</v>
      </c>
      <c r="B57">
        <v>886397000000</v>
      </c>
      <c r="C57">
        <v>546392000000</v>
      </c>
      <c r="D57">
        <v>177984000000</v>
      </c>
      <c r="E57">
        <v>86801000000</v>
      </c>
      <c r="F57">
        <v>101274000000</v>
      </c>
      <c r="G57" s="2">
        <f t="shared" si="0"/>
        <v>176494000000</v>
      </c>
      <c r="H57">
        <v>277004390000</v>
      </c>
      <c r="I57">
        <f t="shared" si="1"/>
        <v>319.99384558490209</v>
      </c>
    </row>
    <row r="58" spans="1:9" ht="16" x14ac:dyDescent="0.35">
      <c r="A58" s="5" t="s">
        <v>63</v>
      </c>
      <c r="B58">
        <v>944145000000</v>
      </c>
      <c r="C58">
        <v>568567000000</v>
      </c>
      <c r="D58">
        <v>193393000000</v>
      </c>
      <c r="E58">
        <v>105294000000</v>
      </c>
      <c r="F58">
        <v>111182000000</v>
      </c>
      <c r="G58" s="2">
        <f t="shared" si="0"/>
        <v>188073000000</v>
      </c>
      <c r="H58">
        <v>280530950000</v>
      </c>
      <c r="I58">
        <f t="shared" si="1"/>
        <v>336.55644769320463</v>
      </c>
    </row>
    <row r="59" spans="1:9" ht="16" x14ac:dyDescent="0.35">
      <c r="A59" s="5" t="s">
        <v>64</v>
      </c>
      <c r="B59">
        <v>997935000000</v>
      </c>
      <c r="C59">
        <v>596732000000</v>
      </c>
      <c r="D59">
        <v>214814000000</v>
      </c>
      <c r="E59">
        <v>114225000000</v>
      </c>
      <c r="F59">
        <v>126847000000</v>
      </c>
      <c r="G59" s="2">
        <f t="shared" si="0"/>
        <v>199011000000</v>
      </c>
      <c r="H59">
        <v>283017090000</v>
      </c>
      <c r="I59">
        <f t="shared" si="1"/>
        <v>352.60591507035849</v>
      </c>
    </row>
    <row r="60" spans="1:9" ht="16" x14ac:dyDescent="0.35">
      <c r="A60" s="5" t="s">
        <v>65</v>
      </c>
      <c r="B60">
        <v>1057370000000</v>
      </c>
      <c r="C60">
        <v>628475000000</v>
      </c>
      <c r="D60">
        <v>211755000000</v>
      </c>
      <c r="E60">
        <v>115900000000</v>
      </c>
      <c r="F60">
        <v>123369000000</v>
      </c>
      <c r="G60" s="2">
        <f t="shared" si="0"/>
        <v>224609000000</v>
      </c>
      <c r="H60">
        <v>286976560000</v>
      </c>
      <c r="I60">
        <f t="shared" si="1"/>
        <v>368.45169514889994</v>
      </c>
    </row>
    <row r="61" spans="1:9" ht="16" x14ac:dyDescent="0.35">
      <c r="A61" s="6" t="s">
        <v>66</v>
      </c>
      <c r="B61">
        <v>1016531000000</v>
      </c>
      <c r="C61">
        <v>623585000000</v>
      </c>
      <c r="D61">
        <v>209987000000</v>
      </c>
      <c r="E61">
        <v>103744000000</v>
      </c>
      <c r="F61">
        <v>116374000000</v>
      </c>
      <c r="G61" s="2">
        <f t="shared" si="0"/>
        <v>195589000000</v>
      </c>
      <c r="H61">
        <v>291002900000</v>
      </c>
      <c r="I61">
        <f t="shared" si="1"/>
        <v>349.31988650284927</v>
      </c>
    </row>
    <row r="62" spans="1:9" ht="16" x14ac:dyDescent="0.35">
      <c r="A62" s="5" t="s">
        <v>67</v>
      </c>
      <c r="B62">
        <v>1086712000000</v>
      </c>
      <c r="C62">
        <v>648649000000</v>
      </c>
      <c r="D62">
        <v>220962000000</v>
      </c>
      <c r="E62">
        <v>124993000000</v>
      </c>
      <c r="F62">
        <v>130951000000</v>
      </c>
      <c r="G62" s="2">
        <f t="shared" si="0"/>
        <v>223059000000</v>
      </c>
      <c r="H62">
        <v>293671110000</v>
      </c>
      <c r="I62">
        <f t="shared" si="1"/>
        <v>370.0438902553268</v>
      </c>
    </row>
    <row r="63" spans="1:9" ht="16" x14ac:dyDescent="0.35">
      <c r="A63" s="5" t="s">
        <v>68</v>
      </c>
      <c r="B63">
        <v>1112334000000</v>
      </c>
      <c r="C63">
        <v>668612000000</v>
      </c>
      <c r="D63">
        <v>237137000000</v>
      </c>
      <c r="E63">
        <v>137086000000</v>
      </c>
      <c r="F63">
        <v>141579000000</v>
      </c>
      <c r="G63" s="2">
        <f t="shared" si="0"/>
        <v>211078000000</v>
      </c>
      <c r="H63">
        <v>293181620000</v>
      </c>
      <c r="I63">
        <f t="shared" si="1"/>
        <v>379.40100064935859</v>
      </c>
    </row>
    <row r="64" spans="1:9" ht="16" x14ac:dyDescent="0.35">
      <c r="A64" s="5" t="s">
        <v>69</v>
      </c>
      <c r="B64">
        <v>1160805000000</v>
      </c>
      <c r="C64">
        <v>696968000000</v>
      </c>
      <c r="D64">
        <v>233842000000</v>
      </c>
      <c r="E64">
        <v>141072000000</v>
      </c>
      <c r="F64">
        <v>151662000000</v>
      </c>
      <c r="G64" s="2">
        <f t="shared" si="0"/>
        <v>240585000000</v>
      </c>
      <c r="H64">
        <v>295950350000</v>
      </c>
      <c r="I64">
        <f t="shared" si="1"/>
        <v>392.22964257349247</v>
      </c>
    </row>
    <row r="65" spans="1:9" ht="16" x14ac:dyDescent="0.35">
      <c r="A65" s="5" t="s">
        <v>70</v>
      </c>
      <c r="B65">
        <v>1129474000000</v>
      </c>
      <c r="C65">
        <v>694701000000</v>
      </c>
      <c r="D65">
        <v>233275000000</v>
      </c>
      <c r="E65">
        <v>119043000000</v>
      </c>
      <c r="F65">
        <v>137048000000</v>
      </c>
      <c r="G65" s="2">
        <f t="shared" si="0"/>
        <v>219503000000</v>
      </c>
      <c r="H65">
        <v>291736750000</v>
      </c>
      <c r="I65">
        <f t="shared" si="1"/>
        <v>387.1552007074871</v>
      </c>
    </row>
    <row r="66" spans="1:9" ht="16" x14ac:dyDescent="0.35">
      <c r="A66" s="5" t="s">
        <v>71</v>
      </c>
      <c r="B66">
        <v>1183126000000</v>
      </c>
      <c r="C66">
        <v>718126000000</v>
      </c>
      <c r="D66">
        <v>244240000000</v>
      </c>
      <c r="E66">
        <v>146496000000</v>
      </c>
      <c r="F66">
        <v>160923000000</v>
      </c>
      <c r="G66" s="2">
        <f t="shared" si="0"/>
        <v>235187000000</v>
      </c>
      <c r="H66">
        <v>296824160000</v>
      </c>
      <c r="I66">
        <f t="shared" si="1"/>
        <v>398.59491222008347</v>
      </c>
    </row>
    <row r="67" spans="1:9" ht="16" x14ac:dyDescent="0.35">
      <c r="A67" s="5" t="s">
        <v>72</v>
      </c>
      <c r="B67">
        <v>1230449000000</v>
      </c>
      <c r="C67">
        <v>753551000000</v>
      </c>
      <c r="D67">
        <v>259597000000</v>
      </c>
      <c r="E67">
        <v>153303000000</v>
      </c>
      <c r="F67">
        <v>162814000000</v>
      </c>
      <c r="G67" s="2">
        <f t="shared" ref="G67:G118" si="2">B67-(C67+D67+E67-F67)</f>
        <v>226812000000</v>
      </c>
      <c r="H67">
        <v>301890930000</v>
      </c>
      <c r="I67">
        <f t="shared" ref="I67:I118" si="3">B67/H67*100</f>
        <v>407.58064510252103</v>
      </c>
    </row>
    <row r="68" spans="1:9" ht="16" x14ac:dyDescent="0.35">
      <c r="A68" s="5" t="s">
        <v>73</v>
      </c>
      <c r="B68">
        <v>1271711000000</v>
      </c>
      <c r="C68">
        <v>790457000000</v>
      </c>
      <c r="D68">
        <v>260349000000</v>
      </c>
      <c r="E68">
        <v>153034000000</v>
      </c>
      <c r="F68">
        <v>176532000000</v>
      </c>
      <c r="G68" s="2">
        <f t="shared" si="2"/>
        <v>244403000000</v>
      </c>
      <c r="H68">
        <v>302276390000</v>
      </c>
      <c r="I68">
        <f t="shared" si="3"/>
        <v>420.7113231701623</v>
      </c>
    </row>
    <row r="69" spans="1:9" ht="16" x14ac:dyDescent="0.35">
      <c r="A69" s="5" t="s">
        <v>74</v>
      </c>
      <c r="B69">
        <v>1241614000000</v>
      </c>
      <c r="C69">
        <v>777713000000</v>
      </c>
      <c r="D69">
        <v>256607000000</v>
      </c>
      <c r="E69">
        <v>125321000000</v>
      </c>
      <c r="F69">
        <v>164280000000</v>
      </c>
      <c r="G69" s="2">
        <f t="shared" si="2"/>
        <v>246253000000</v>
      </c>
      <c r="H69">
        <v>303619310000</v>
      </c>
      <c r="I69">
        <f t="shared" si="3"/>
        <v>408.937758273675</v>
      </c>
    </row>
    <row r="70" spans="1:9" ht="16" x14ac:dyDescent="0.35">
      <c r="A70" s="5" t="s">
        <v>75</v>
      </c>
      <c r="B70">
        <v>1322580000000</v>
      </c>
      <c r="C70">
        <v>805985000000</v>
      </c>
      <c r="D70">
        <v>279535000000</v>
      </c>
      <c r="E70">
        <v>156293000000</v>
      </c>
      <c r="F70">
        <v>181369000000</v>
      </c>
      <c r="G70" s="2">
        <f t="shared" si="2"/>
        <v>262136000000</v>
      </c>
      <c r="H70">
        <v>307978330000</v>
      </c>
      <c r="I70">
        <f t="shared" si="3"/>
        <v>429.43930503162352</v>
      </c>
    </row>
    <row r="71" spans="1:9" ht="16" x14ac:dyDescent="0.35">
      <c r="A71" s="5" t="s">
        <v>76</v>
      </c>
      <c r="B71">
        <v>1354134000000</v>
      </c>
      <c r="C71">
        <v>833145000000</v>
      </c>
      <c r="D71">
        <v>291365000000</v>
      </c>
      <c r="E71">
        <v>169810000000</v>
      </c>
      <c r="F71">
        <v>201819000000</v>
      </c>
      <c r="G71" s="2">
        <f t="shared" si="2"/>
        <v>261633000000</v>
      </c>
      <c r="H71">
        <v>309335150000</v>
      </c>
      <c r="I71">
        <f t="shared" si="3"/>
        <v>437.75626533227791</v>
      </c>
    </row>
    <row r="72" spans="1:9" ht="16" x14ac:dyDescent="0.35">
      <c r="A72" s="5" t="s">
        <v>77</v>
      </c>
      <c r="B72">
        <v>1413291000000</v>
      </c>
      <c r="C72">
        <v>873580000000</v>
      </c>
      <c r="D72">
        <v>287437000000</v>
      </c>
      <c r="E72">
        <v>174627000000</v>
      </c>
      <c r="F72">
        <v>201290000000</v>
      </c>
      <c r="G72" s="2">
        <f t="shared" si="2"/>
        <v>278937000000</v>
      </c>
      <c r="H72">
        <v>309941860000</v>
      </c>
      <c r="I72">
        <f t="shared" si="3"/>
        <v>455.98584198984929</v>
      </c>
    </row>
    <row r="73" spans="1:9" ht="16" x14ac:dyDescent="0.35">
      <c r="A73" s="5" t="s">
        <v>78</v>
      </c>
      <c r="B73">
        <v>1385981000000</v>
      </c>
      <c r="C73">
        <v>873828000000</v>
      </c>
      <c r="D73">
        <v>287397000000</v>
      </c>
      <c r="E73">
        <v>144492000000</v>
      </c>
      <c r="F73">
        <v>190907000000</v>
      </c>
      <c r="G73" s="2">
        <f t="shared" si="2"/>
        <v>271171000000</v>
      </c>
      <c r="H73">
        <v>312114020000</v>
      </c>
      <c r="I73">
        <f t="shared" si="3"/>
        <v>444.06239745334091</v>
      </c>
    </row>
    <row r="74" spans="1:9" ht="16" x14ac:dyDescent="0.35">
      <c r="A74" s="5" t="s">
        <v>79</v>
      </c>
      <c r="B74">
        <v>1422322000000</v>
      </c>
      <c r="C74">
        <v>888391000000</v>
      </c>
      <c r="D74">
        <v>282408000000</v>
      </c>
      <c r="E74">
        <v>162059000000</v>
      </c>
      <c r="F74">
        <v>189517000000</v>
      </c>
      <c r="G74" s="2">
        <f t="shared" si="2"/>
        <v>278981000000</v>
      </c>
      <c r="H74">
        <v>308115440000</v>
      </c>
      <c r="I74">
        <f t="shared" si="3"/>
        <v>461.61983962893902</v>
      </c>
    </row>
    <row r="75" spans="1:9" ht="16" x14ac:dyDescent="0.35">
      <c r="A75" s="5" t="s">
        <v>80</v>
      </c>
      <c r="B75">
        <v>1462125000000</v>
      </c>
      <c r="C75">
        <v>912055000000</v>
      </c>
      <c r="D75">
        <v>289656000000</v>
      </c>
      <c r="E75">
        <v>171655000000</v>
      </c>
      <c r="F75">
        <v>204433000000</v>
      </c>
      <c r="G75" s="2">
        <f t="shared" si="2"/>
        <v>293192000000</v>
      </c>
      <c r="H75">
        <v>307826410000</v>
      </c>
      <c r="I75">
        <f t="shared" si="3"/>
        <v>474.98361170505154</v>
      </c>
    </row>
    <row r="76" spans="1:9" ht="16" x14ac:dyDescent="0.35">
      <c r="A76" s="5" t="s">
        <v>81</v>
      </c>
      <c r="B76">
        <v>1508525000000</v>
      </c>
      <c r="C76">
        <v>964130000000</v>
      </c>
      <c r="D76">
        <v>288992000000</v>
      </c>
      <c r="E76">
        <v>158169000000</v>
      </c>
      <c r="F76">
        <v>205327000000</v>
      </c>
      <c r="G76" s="2">
        <f t="shared" si="2"/>
        <v>302561000000</v>
      </c>
      <c r="H76">
        <v>309167940000</v>
      </c>
      <c r="I76">
        <f t="shared" si="3"/>
        <v>487.93060496505552</v>
      </c>
    </row>
    <row r="77" spans="1:9" ht="16" x14ac:dyDescent="0.35">
      <c r="A77" s="5" t="s">
        <v>82</v>
      </c>
      <c r="B77">
        <v>1456659000000</v>
      </c>
      <c r="C77">
        <v>936567000000</v>
      </c>
      <c r="D77">
        <v>277305000000</v>
      </c>
      <c r="E77">
        <v>153346000000</v>
      </c>
      <c r="F77">
        <v>201721000000</v>
      </c>
      <c r="G77" s="2">
        <f t="shared" si="2"/>
        <v>291162000000</v>
      </c>
      <c r="H77">
        <v>306574290000</v>
      </c>
      <c r="I77">
        <f t="shared" si="3"/>
        <v>475.14062578437353</v>
      </c>
    </row>
    <row r="78" spans="1:9" ht="16" x14ac:dyDescent="0.35">
      <c r="A78" s="5" t="s">
        <v>83</v>
      </c>
      <c r="B78">
        <v>1479970000000</v>
      </c>
      <c r="C78">
        <v>938595000000</v>
      </c>
      <c r="D78">
        <v>267001000000</v>
      </c>
      <c r="E78">
        <v>189848000000</v>
      </c>
      <c r="F78">
        <v>204928000000</v>
      </c>
      <c r="G78" s="2">
        <f t="shared" si="2"/>
        <v>289454000000</v>
      </c>
      <c r="H78">
        <v>299682740000</v>
      </c>
      <c r="I78">
        <f t="shared" si="3"/>
        <v>493.8455915078726</v>
      </c>
    </row>
    <row r="79" spans="1:9" ht="16" x14ac:dyDescent="0.35">
      <c r="A79" s="5" t="s">
        <v>84</v>
      </c>
      <c r="B79">
        <v>1508228000000</v>
      </c>
      <c r="C79">
        <v>959600000000</v>
      </c>
      <c r="D79">
        <v>270304000000</v>
      </c>
      <c r="E79">
        <v>212638000000</v>
      </c>
      <c r="F79">
        <v>219745000000</v>
      </c>
      <c r="G79" s="2">
        <f t="shared" si="2"/>
        <v>285431000000</v>
      </c>
      <c r="H79">
        <v>295000670000</v>
      </c>
      <c r="I79">
        <f t="shared" si="3"/>
        <v>511.26256764094808</v>
      </c>
    </row>
    <row r="80" spans="1:9" ht="16" x14ac:dyDescent="0.35">
      <c r="A80" s="5" t="s">
        <v>85</v>
      </c>
      <c r="B80">
        <v>1550930000000</v>
      </c>
      <c r="C80">
        <v>1000430000000</v>
      </c>
      <c r="D80">
        <v>254787000000</v>
      </c>
      <c r="E80">
        <v>217635000000</v>
      </c>
      <c r="F80">
        <v>216219000000</v>
      </c>
      <c r="G80" s="2">
        <f t="shared" si="2"/>
        <v>294297000000</v>
      </c>
      <c r="H80">
        <v>292169420000</v>
      </c>
      <c r="I80">
        <f t="shared" si="3"/>
        <v>530.83241908068271</v>
      </c>
    </row>
    <row r="81" spans="1:9" ht="16" x14ac:dyDescent="0.35">
      <c r="A81" s="5" t="s">
        <v>86</v>
      </c>
      <c r="B81">
        <v>1500299000000</v>
      </c>
      <c r="C81">
        <v>974593000000</v>
      </c>
      <c r="D81">
        <v>240662000000</v>
      </c>
      <c r="E81">
        <v>195363000000</v>
      </c>
      <c r="F81">
        <v>195819000000</v>
      </c>
      <c r="G81" s="2">
        <f t="shared" si="2"/>
        <v>285500000000</v>
      </c>
      <c r="H81">
        <v>288155080000</v>
      </c>
      <c r="I81">
        <f t="shared" si="3"/>
        <v>520.65679355713598</v>
      </c>
    </row>
    <row r="82" spans="1:9" ht="16" x14ac:dyDescent="0.35">
      <c r="A82" s="5" t="s">
        <v>87</v>
      </c>
      <c r="B82">
        <v>1559050000000</v>
      </c>
      <c r="C82">
        <v>986780000000</v>
      </c>
      <c r="D82">
        <v>247849000000</v>
      </c>
      <c r="E82">
        <v>208110000000</v>
      </c>
      <c r="F82">
        <v>192726000000</v>
      </c>
      <c r="G82" s="2">
        <f t="shared" si="2"/>
        <v>309037000000</v>
      </c>
      <c r="H82">
        <v>288966350000</v>
      </c>
      <c r="I82">
        <f t="shared" si="3"/>
        <v>539.52648811877225</v>
      </c>
    </row>
    <row r="83" spans="1:9" ht="16" x14ac:dyDescent="0.35">
      <c r="A83" s="5" t="s">
        <v>88</v>
      </c>
      <c r="B83">
        <v>1577170000000</v>
      </c>
      <c r="C83">
        <v>1016029000000</v>
      </c>
      <c r="D83">
        <v>246620000000</v>
      </c>
      <c r="E83">
        <v>192894000000</v>
      </c>
      <c r="F83">
        <v>184595000000</v>
      </c>
      <c r="G83" s="2">
        <f t="shared" si="2"/>
        <v>306222000000</v>
      </c>
      <c r="H83">
        <v>287555320000</v>
      </c>
      <c r="I83">
        <f t="shared" si="3"/>
        <v>548.47533337237508</v>
      </c>
    </row>
    <row r="84" spans="1:9" ht="16" x14ac:dyDescent="0.35">
      <c r="A84" s="5" t="s">
        <v>89</v>
      </c>
      <c r="B84">
        <v>1632808000000</v>
      </c>
      <c r="C84">
        <v>1050734000000</v>
      </c>
      <c r="D84">
        <v>238139000000</v>
      </c>
      <c r="E84">
        <v>185210000000</v>
      </c>
      <c r="F84">
        <v>183380000000</v>
      </c>
      <c r="G84" s="2">
        <f t="shared" si="2"/>
        <v>342105000000</v>
      </c>
      <c r="H84">
        <v>287220320000</v>
      </c>
      <c r="I84">
        <f t="shared" si="3"/>
        <v>568.4862408063608</v>
      </c>
    </row>
    <row r="85" spans="1:9" ht="16" x14ac:dyDescent="0.35">
      <c r="A85" s="5" t="s">
        <v>90</v>
      </c>
      <c r="B85">
        <v>1585673000000</v>
      </c>
      <c r="C85">
        <v>1017563000000</v>
      </c>
      <c r="D85">
        <v>230521000000</v>
      </c>
      <c r="E85">
        <v>192344000000</v>
      </c>
      <c r="F85">
        <v>184018000000</v>
      </c>
      <c r="G85" s="2">
        <f t="shared" si="2"/>
        <v>329263000000</v>
      </c>
      <c r="H85">
        <v>290064130000</v>
      </c>
      <c r="I85">
        <f t="shared" si="3"/>
        <v>546.6629051996191</v>
      </c>
    </row>
    <row r="86" spans="1:9" ht="16" x14ac:dyDescent="0.35">
      <c r="A86" s="5" t="s">
        <v>91</v>
      </c>
      <c r="B86">
        <v>1630730000000</v>
      </c>
      <c r="C86">
        <v>1035708000000</v>
      </c>
      <c r="D86">
        <v>233218000000</v>
      </c>
      <c r="E86">
        <v>216288000000</v>
      </c>
      <c r="F86">
        <v>185048000000</v>
      </c>
      <c r="G86" s="2">
        <f t="shared" si="2"/>
        <v>330564000000</v>
      </c>
      <c r="H86">
        <v>292369200000</v>
      </c>
      <c r="I86">
        <f t="shared" si="3"/>
        <v>557.76395051188695</v>
      </c>
    </row>
    <row r="87" spans="1:9" ht="16" x14ac:dyDescent="0.35">
      <c r="A87" s="5" t="s">
        <v>92</v>
      </c>
      <c r="B87">
        <v>1648635000000</v>
      </c>
      <c r="C87">
        <v>1070402000000</v>
      </c>
      <c r="D87">
        <v>245494000000</v>
      </c>
      <c r="E87">
        <v>210484000000</v>
      </c>
      <c r="F87">
        <v>200300000000</v>
      </c>
      <c r="G87" s="2">
        <f t="shared" si="2"/>
        <v>322555000000</v>
      </c>
      <c r="H87">
        <v>293202060000</v>
      </c>
      <c r="I87">
        <f t="shared" si="3"/>
        <v>562.28629498714986</v>
      </c>
    </row>
    <row r="88" spans="1:9" ht="16" x14ac:dyDescent="0.35">
      <c r="A88" s="5" t="s">
        <v>93</v>
      </c>
      <c r="B88">
        <v>1720441000000</v>
      </c>
      <c r="C88">
        <v>1123586000000</v>
      </c>
      <c r="D88">
        <v>249546000000</v>
      </c>
      <c r="E88">
        <v>205319000000</v>
      </c>
      <c r="F88">
        <v>207771000000</v>
      </c>
      <c r="G88" s="2">
        <f t="shared" si="2"/>
        <v>349761000000</v>
      </c>
      <c r="H88">
        <v>294972290000</v>
      </c>
      <c r="I88">
        <f t="shared" si="3"/>
        <v>583.25512542212016</v>
      </c>
    </row>
    <row r="89" spans="1:9" ht="16" x14ac:dyDescent="0.35">
      <c r="A89" s="5" t="s">
        <v>94</v>
      </c>
      <c r="B89">
        <v>1682083000000</v>
      </c>
      <c r="C89">
        <v>1088772000000</v>
      </c>
      <c r="D89">
        <v>245440000000</v>
      </c>
      <c r="E89">
        <v>212288000000</v>
      </c>
      <c r="F89">
        <v>211695000000</v>
      </c>
      <c r="G89" s="2">
        <f t="shared" si="2"/>
        <v>347278000000</v>
      </c>
      <c r="H89">
        <v>296475340000</v>
      </c>
      <c r="I89">
        <f t="shared" si="3"/>
        <v>567.36017235025349</v>
      </c>
    </row>
    <row r="90" spans="1:9" ht="16" x14ac:dyDescent="0.35">
      <c r="A90" s="5" t="s">
        <v>95</v>
      </c>
      <c r="B90">
        <v>1734099000000</v>
      </c>
      <c r="C90">
        <v>1099647000000</v>
      </c>
      <c r="D90">
        <v>252954000000</v>
      </c>
      <c r="E90">
        <v>248769000000</v>
      </c>
      <c r="F90">
        <v>226871000000</v>
      </c>
      <c r="G90" s="2">
        <f t="shared" si="2"/>
        <v>359600000000</v>
      </c>
      <c r="H90">
        <v>296315590000</v>
      </c>
      <c r="I90">
        <f t="shared" si="3"/>
        <v>585.22030514830487</v>
      </c>
    </row>
    <row r="91" spans="1:9" ht="16" x14ac:dyDescent="0.35">
      <c r="A91" s="5" t="s">
        <v>96</v>
      </c>
      <c r="B91">
        <v>1767856000000</v>
      </c>
      <c r="C91">
        <v>1143238000000</v>
      </c>
      <c r="D91">
        <v>285426000000</v>
      </c>
      <c r="E91">
        <v>288213000000</v>
      </c>
      <c r="F91">
        <v>290843000000</v>
      </c>
      <c r="G91" s="2">
        <f t="shared" si="2"/>
        <v>341822000000</v>
      </c>
      <c r="H91">
        <v>298901930000</v>
      </c>
      <c r="I91">
        <f t="shared" si="3"/>
        <v>591.45017899349125</v>
      </c>
    </row>
    <row r="92" spans="1:9" ht="16" x14ac:dyDescent="0.35">
      <c r="A92" s="5" t="s">
        <v>97</v>
      </c>
      <c r="B92">
        <v>1820103000000</v>
      </c>
      <c r="C92">
        <v>1194145000000</v>
      </c>
      <c r="D92">
        <v>273588000000</v>
      </c>
      <c r="E92">
        <v>275786000000</v>
      </c>
      <c r="F92">
        <v>268065000000</v>
      </c>
      <c r="G92" s="2">
        <f t="shared" si="2"/>
        <v>344649000000</v>
      </c>
      <c r="H92">
        <v>298435860000</v>
      </c>
      <c r="I92">
        <f t="shared" si="3"/>
        <v>609.88079649677491</v>
      </c>
    </row>
    <row r="93" spans="1:9" ht="16" x14ac:dyDescent="0.35">
      <c r="A93" s="5" t="s">
        <v>98</v>
      </c>
      <c r="B93">
        <v>1757554000000</v>
      </c>
      <c r="C93">
        <v>1155353000000</v>
      </c>
      <c r="D93">
        <v>263449000000</v>
      </c>
      <c r="E93">
        <v>230569000000</v>
      </c>
      <c r="F93">
        <v>244462000000</v>
      </c>
      <c r="G93" s="2">
        <f t="shared" si="2"/>
        <v>352645000000</v>
      </c>
      <c r="H93">
        <v>299175520000</v>
      </c>
      <c r="I93">
        <f t="shared" si="3"/>
        <v>587.46584613607422</v>
      </c>
    </row>
    <row r="94" spans="1:9" ht="16" x14ac:dyDescent="0.35">
      <c r="A94" s="5" t="s">
        <v>99</v>
      </c>
      <c r="B94">
        <v>1826761000000</v>
      </c>
      <c r="C94">
        <v>1172601000000</v>
      </c>
      <c r="D94">
        <v>280716000000</v>
      </c>
      <c r="E94">
        <v>263403000000</v>
      </c>
      <c r="F94">
        <v>259391000000</v>
      </c>
      <c r="G94" s="2">
        <f t="shared" si="2"/>
        <v>369432000000</v>
      </c>
      <c r="H94">
        <v>301064630000</v>
      </c>
      <c r="I94">
        <f t="shared" si="3"/>
        <v>606.76705862126687</v>
      </c>
    </row>
    <row r="95" spans="1:9" ht="16" x14ac:dyDescent="0.35">
      <c r="A95" s="5" t="s">
        <v>100</v>
      </c>
      <c r="B95">
        <v>1880610000000</v>
      </c>
      <c r="C95">
        <v>1216014000000</v>
      </c>
      <c r="D95">
        <v>308672000000</v>
      </c>
      <c r="E95">
        <v>278699000000</v>
      </c>
      <c r="F95">
        <v>300767000000</v>
      </c>
      <c r="G95" s="2">
        <f t="shared" si="2"/>
        <v>377992000000</v>
      </c>
      <c r="H95">
        <v>300934920000</v>
      </c>
      <c r="I95">
        <f t="shared" si="3"/>
        <v>624.92249154734191</v>
      </c>
    </row>
    <row r="96" spans="1:9" ht="16" x14ac:dyDescent="0.35">
      <c r="A96" s="5" t="s">
        <v>101</v>
      </c>
      <c r="B96">
        <v>1924206000000</v>
      </c>
      <c r="C96">
        <v>1269611000000</v>
      </c>
      <c r="D96">
        <v>290349000000</v>
      </c>
      <c r="E96">
        <v>270890000000</v>
      </c>
      <c r="F96">
        <v>286558000000</v>
      </c>
      <c r="G96" s="2">
        <f t="shared" si="2"/>
        <v>379914000000</v>
      </c>
      <c r="H96">
        <v>303416460000</v>
      </c>
      <c r="I96">
        <f t="shared" si="3"/>
        <v>634.17983322328655</v>
      </c>
    </row>
    <row r="97" spans="1:9" ht="16" x14ac:dyDescent="0.35">
      <c r="A97" s="5" t="s">
        <v>102</v>
      </c>
      <c r="B97">
        <v>1868095000000</v>
      </c>
      <c r="C97">
        <v>1211460000000</v>
      </c>
      <c r="D97">
        <v>302015000000</v>
      </c>
      <c r="E97">
        <v>259853000000</v>
      </c>
      <c r="F97">
        <v>298667000000</v>
      </c>
      <c r="G97" s="2">
        <f t="shared" si="2"/>
        <v>393434000000</v>
      </c>
      <c r="H97">
        <v>296683160000</v>
      </c>
      <c r="I97">
        <f t="shared" si="3"/>
        <v>629.65993755762884</v>
      </c>
    </row>
    <row r="98" spans="1:9" ht="16" x14ac:dyDescent="0.35">
      <c r="A98" s="5" t="s">
        <v>103</v>
      </c>
      <c r="B98">
        <v>1752724000000</v>
      </c>
      <c r="C98">
        <v>1066604000000</v>
      </c>
      <c r="D98">
        <v>264650000000</v>
      </c>
      <c r="E98">
        <v>322289000000</v>
      </c>
      <c r="F98">
        <v>274297000000</v>
      </c>
      <c r="G98" s="2">
        <f t="shared" si="2"/>
        <v>373478000000</v>
      </c>
      <c r="H98">
        <v>270526810000</v>
      </c>
      <c r="I98">
        <f t="shared" si="3"/>
        <v>647.89290200109929</v>
      </c>
    </row>
    <row r="99" spans="1:9" ht="16" x14ac:dyDescent="0.35">
      <c r="A99" s="5" t="s">
        <v>104</v>
      </c>
      <c r="B99">
        <v>1929323000000</v>
      </c>
      <c r="C99">
        <v>1200311000000</v>
      </c>
      <c r="D99">
        <v>316149000000</v>
      </c>
      <c r="E99">
        <v>334871000000</v>
      </c>
      <c r="F99">
        <v>283335000000</v>
      </c>
      <c r="G99" s="2">
        <f t="shared" si="2"/>
        <v>361327000000</v>
      </c>
      <c r="H99">
        <v>291818710000</v>
      </c>
      <c r="I99">
        <f t="shared" si="3"/>
        <v>661.13752610310689</v>
      </c>
    </row>
    <row r="100" spans="1:9" ht="16" x14ac:dyDescent="0.35">
      <c r="A100" s="5" t="s">
        <v>105</v>
      </c>
      <c r="B100">
        <v>2059455000000</v>
      </c>
      <c r="C100">
        <v>1326629000000</v>
      </c>
      <c r="D100">
        <v>377414000000</v>
      </c>
      <c r="E100">
        <v>335037000000</v>
      </c>
      <c r="F100">
        <v>349709000000</v>
      </c>
      <c r="G100" s="2">
        <f t="shared" si="2"/>
        <v>370084000000</v>
      </c>
      <c r="H100">
        <v>302640540000</v>
      </c>
      <c r="I100">
        <f t="shared" si="3"/>
        <v>680.49541545227225</v>
      </c>
    </row>
    <row r="101" spans="1:9" ht="16" x14ac:dyDescent="0.35">
      <c r="A101" s="5" t="s">
        <v>106</v>
      </c>
      <c r="B101">
        <v>2156670000000</v>
      </c>
      <c r="C101">
        <v>1287344000000</v>
      </c>
      <c r="D101">
        <v>396730000000</v>
      </c>
      <c r="E101">
        <v>355130000000</v>
      </c>
      <c r="F101">
        <v>403836000000</v>
      </c>
      <c r="G101" s="2">
        <f t="shared" si="2"/>
        <v>521302000000</v>
      </c>
      <c r="H101">
        <v>305554240000</v>
      </c>
      <c r="I101">
        <f t="shared" si="3"/>
        <v>705.82231161315258</v>
      </c>
    </row>
    <row r="102" spans="1:9" ht="16" x14ac:dyDescent="0.35">
      <c r="A102" s="5" t="s">
        <v>107</v>
      </c>
      <c r="B102">
        <v>2203639000000</v>
      </c>
      <c r="C102">
        <v>1306327000000</v>
      </c>
      <c r="D102">
        <v>383293000000</v>
      </c>
      <c r="E102">
        <v>477524000000</v>
      </c>
      <c r="F102">
        <v>387992000000</v>
      </c>
      <c r="G102" s="2">
        <f t="shared" si="2"/>
        <v>424487000000</v>
      </c>
      <c r="H102">
        <v>303688440000</v>
      </c>
      <c r="I102">
        <f t="shared" si="3"/>
        <v>725.62492006610455</v>
      </c>
    </row>
    <row r="103" spans="1:9" ht="16" x14ac:dyDescent="0.35">
      <c r="A103" s="5" t="s">
        <v>108</v>
      </c>
      <c r="B103">
        <v>2295851000000</v>
      </c>
      <c r="C103">
        <v>1413002000000</v>
      </c>
      <c r="D103">
        <v>419005000000</v>
      </c>
      <c r="E103">
        <v>454799000000</v>
      </c>
      <c r="F103">
        <v>412703000000</v>
      </c>
      <c r="G103" s="2">
        <f t="shared" si="2"/>
        <v>421748000000</v>
      </c>
      <c r="H103">
        <v>304061170000</v>
      </c>
      <c r="I103">
        <f t="shared" si="3"/>
        <v>755.06221330398751</v>
      </c>
    </row>
    <row r="104" spans="1:9" ht="16" x14ac:dyDescent="0.35">
      <c r="A104" s="5" t="s">
        <v>109</v>
      </c>
      <c r="B104">
        <v>2355982000000</v>
      </c>
      <c r="C104">
        <v>1523898000000</v>
      </c>
      <c r="D104">
        <v>415754000000</v>
      </c>
      <c r="E104">
        <v>434716000000</v>
      </c>
      <c r="F104">
        <v>466942000000</v>
      </c>
      <c r="G104" s="2">
        <f t="shared" si="2"/>
        <v>448556000000</v>
      </c>
      <c r="H104">
        <v>307643080000</v>
      </c>
      <c r="I104">
        <f t="shared" si="3"/>
        <v>765.81667300951483</v>
      </c>
    </row>
    <row r="105" spans="1:9" ht="16" x14ac:dyDescent="0.35">
      <c r="A105" s="5" t="s">
        <v>110</v>
      </c>
      <c r="B105">
        <v>2319528000000</v>
      </c>
      <c r="C105">
        <v>1475027000000</v>
      </c>
      <c r="D105">
        <v>410115000000</v>
      </c>
      <c r="E105">
        <v>437089000000</v>
      </c>
      <c r="F105">
        <v>441498000000</v>
      </c>
      <c r="G105" s="2">
        <f t="shared" si="2"/>
        <v>438795000000</v>
      </c>
      <c r="H105">
        <v>310135410000</v>
      </c>
      <c r="I105">
        <f t="shared" si="3"/>
        <v>747.90814760558942</v>
      </c>
    </row>
    <row r="106" spans="1:9" ht="16" x14ac:dyDescent="0.35">
      <c r="A106" s="5" t="s">
        <v>111</v>
      </c>
      <c r="B106">
        <v>2517481000000</v>
      </c>
      <c r="C106">
        <v>1563936000000</v>
      </c>
      <c r="D106">
        <v>435559000000</v>
      </c>
      <c r="E106">
        <v>510857000000</v>
      </c>
      <c r="F106">
        <v>468975000000</v>
      </c>
      <c r="G106" s="2">
        <f t="shared" si="2"/>
        <v>476104000000</v>
      </c>
      <c r="H106">
        <v>313832190000</v>
      </c>
      <c r="I106">
        <f t="shared" si="3"/>
        <v>802.1742447771212</v>
      </c>
    </row>
    <row r="107" spans="1:9" ht="16" x14ac:dyDescent="0.35">
      <c r="A107" s="5" t="s">
        <v>112</v>
      </c>
      <c r="B107">
        <v>2601182000000</v>
      </c>
      <c r="C107">
        <v>1626419000000</v>
      </c>
      <c r="D107">
        <v>476868000000</v>
      </c>
      <c r="E107">
        <v>538197000000</v>
      </c>
      <c r="F107">
        <v>537589000000</v>
      </c>
      <c r="G107" s="2">
        <f t="shared" si="2"/>
        <v>497287000000</v>
      </c>
      <c r="H107">
        <v>316877320000</v>
      </c>
      <c r="I107">
        <f t="shared" si="3"/>
        <v>820.87982819344722</v>
      </c>
    </row>
    <row r="108" spans="1:9" ht="16" x14ac:dyDescent="0.35">
      <c r="A108" s="5" t="s">
        <v>113</v>
      </c>
      <c r="B108">
        <v>2641485000000</v>
      </c>
      <c r="C108">
        <v>1691277000000</v>
      </c>
      <c r="D108">
        <v>471681000000</v>
      </c>
      <c r="E108">
        <v>492575000000</v>
      </c>
      <c r="F108">
        <v>485755000000</v>
      </c>
      <c r="G108" s="2">
        <f t="shared" si="2"/>
        <v>471707000000</v>
      </c>
      <c r="H108">
        <v>318279080000</v>
      </c>
      <c r="I108">
        <f t="shared" si="3"/>
        <v>829.92730782054537</v>
      </c>
    </row>
    <row r="109" spans="1:9" ht="16" x14ac:dyDescent="0.35">
      <c r="A109" s="5" t="s">
        <v>114</v>
      </c>
      <c r="B109">
        <v>2581018000000</v>
      </c>
      <c r="C109">
        <v>1635673000000</v>
      </c>
      <c r="D109">
        <v>440153000000</v>
      </c>
      <c r="E109">
        <v>467382000000</v>
      </c>
      <c r="F109">
        <v>435199000000</v>
      </c>
      <c r="G109" s="2">
        <f t="shared" si="2"/>
        <v>473009000000</v>
      </c>
      <c r="H109">
        <v>322531840000</v>
      </c>
      <c r="I109">
        <f t="shared" si="3"/>
        <v>800.23665260459256</v>
      </c>
    </row>
    <row r="110" spans="1:9" ht="16" x14ac:dyDescent="0.35">
      <c r="A110" s="5" t="s">
        <v>115</v>
      </c>
      <c r="B110">
        <v>2727580000000</v>
      </c>
      <c r="C110">
        <v>1686827000000</v>
      </c>
      <c r="D110">
        <v>444049000000</v>
      </c>
      <c r="E110">
        <v>509059000000</v>
      </c>
      <c r="F110">
        <v>423307000000</v>
      </c>
      <c r="G110" s="2">
        <f t="shared" si="2"/>
        <v>510952000000</v>
      </c>
      <c r="H110">
        <v>325250180000</v>
      </c>
      <c r="I110">
        <f t="shared" si="3"/>
        <v>838.609835665579</v>
      </c>
    </row>
    <row r="111" spans="1:9" ht="16" x14ac:dyDescent="0.35">
      <c r="A111" s="5" t="s">
        <v>116</v>
      </c>
      <c r="B111">
        <v>2769445000000</v>
      </c>
      <c r="C111">
        <v>1748852000000</v>
      </c>
      <c r="D111">
        <v>454830000000</v>
      </c>
      <c r="E111">
        <v>495090000000</v>
      </c>
      <c r="F111">
        <v>426064000000</v>
      </c>
      <c r="G111" s="2">
        <f t="shared" si="2"/>
        <v>496737000000</v>
      </c>
      <c r="H111">
        <v>325536810000</v>
      </c>
      <c r="I111">
        <f t="shared" si="3"/>
        <v>850.73174981348495</v>
      </c>
    </row>
    <row r="112" spans="1:9" ht="16" x14ac:dyDescent="0.35">
      <c r="A112" s="5" t="s">
        <v>117</v>
      </c>
      <c r="B112">
        <v>2865301000000</v>
      </c>
      <c r="C112">
        <v>1814674000000</v>
      </c>
      <c r="D112">
        <v>456877000000</v>
      </c>
      <c r="E112">
        <v>494914000000</v>
      </c>
      <c r="F112">
        <v>433197000000</v>
      </c>
      <c r="G112" s="2">
        <f t="shared" si="2"/>
        <v>532033000000</v>
      </c>
      <c r="H112">
        <v>326570890000</v>
      </c>
      <c r="I112">
        <f t="shared" si="3"/>
        <v>877.39020461989128</v>
      </c>
    </row>
    <row r="113" spans="1:9" ht="16" x14ac:dyDescent="0.35">
      <c r="A113" s="6" t="s">
        <v>118</v>
      </c>
      <c r="B113">
        <v>2753200000000</v>
      </c>
      <c r="C113">
        <v>1778714000000</v>
      </c>
      <c r="D113">
        <v>460503000000</v>
      </c>
      <c r="E113">
        <v>454239000000</v>
      </c>
      <c r="F113">
        <v>430190000000</v>
      </c>
      <c r="G113" s="2">
        <f t="shared" si="2"/>
        <v>489934000000</v>
      </c>
      <c r="H113">
        <v>329429510000</v>
      </c>
      <c r="I113">
        <f t="shared" si="3"/>
        <v>835.747835705429</v>
      </c>
    </row>
    <row r="114" spans="1:9" ht="16" x14ac:dyDescent="0.35">
      <c r="A114" s="5" t="s">
        <v>119</v>
      </c>
      <c r="B114">
        <v>2921229000000</v>
      </c>
      <c r="C114">
        <v>1828528000000</v>
      </c>
      <c r="D114">
        <v>484963000000</v>
      </c>
      <c r="E114">
        <v>537411000000</v>
      </c>
      <c r="F114">
        <v>493782000000</v>
      </c>
      <c r="G114" s="2">
        <f t="shared" si="2"/>
        <v>564109000000</v>
      </c>
      <c r="H114">
        <v>334452810000</v>
      </c>
      <c r="I114">
        <f t="shared" si="3"/>
        <v>873.43532858940557</v>
      </c>
    </row>
    <row r="115" spans="1:9" ht="16" x14ac:dyDescent="0.35">
      <c r="A115" s="5" t="s">
        <v>120</v>
      </c>
      <c r="B115">
        <v>2989913000000</v>
      </c>
      <c r="C115">
        <v>1915961000000</v>
      </c>
      <c r="D115">
        <v>526794000000</v>
      </c>
      <c r="E115">
        <v>562216000000</v>
      </c>
      <c r="F115">
        <v>565752000000</v>
      </c>
      <c r="G115" s="2">
        <f t="shared" si="2"/>
        <v>550694000000</v>
      </c>
      <c r="H115">
        <v>337093760000</v>
      </c>
      <c r="I115">
        <f t="shared" si="3"/>
        <v>886.96776825533641</v>
      </c>
    </row>
    <row r="116" spans="1:9" ht="16" x14ac:dyDescent="0.35">
      <c r="A116" s="5" t="s">
        <v>121</v>
      </c>
      <c r="B116">
        <v>3080367000000</v>
      </c>
      <c r="C116">
        <v>1966674000000</v>
      </c>
      <c r="D116">
        <v>528204000000</v>
      </c>
      <c r="E116">
        <v>561906000000</v>
      </c>
      <c r="F116">
        <v>567543000000</v>
      </c>
      <c r="G116" s="2">
        <f t="shared" si="2"/>
        <v>591126000000</v>
      </c>
      <c r="H116">
        <v>337310860000</v>
      </c>
      <c r="I116">
        <f t="shared" si="3"/>
        <v>913.21311149009557</v>
      </c>
    </row>
    <row r="117" spans="1:9" ht="16" x14ac:dyDescent="0.35">
      <c r="A117" s="5" t="s">
        <v>122</v>
      </c>
      <c r="B117">
        <v>3019579000000</v>
      </c>
      <c r="C117">
        <v>1933978000000</v>
      </c>
      <c r="D117">
        <v>536467000000</v>
      </c>
      <c r="E117">
        <v>533918000000</v>
      </c>
      <c r="F117">
        <v>568481000000</v>
      </c>
      <c r="G117" s="2">
        <f t="shared" si="2"/>
        <v>583697000000</v>
      </c>
      <c r="H117">
        <v>341720830000</v>
      </c>
      <c r="I117">
        <f t="shared" si="3"/>
        <v>883.63913900127181</v>
      </c>
    </row>
    <row r="118" spans="1:9" ht="16" x14ac:dyDescent="0.35">
      <c r="A118" s="7" t="s">
        <v>123</v>
      </c>
      <c r="B118">
        <v>3176745000000</v>
      </c>
      <c r="C118">
        <v>1981934000000</v>
      </c>
      <c r="D118">
        <v>532922000000</v>
      </c>
      <c r="E118">
        <v>581343000000</v>
      </c>
      <c r="F118">
        <v>552676000000</v>
      </c>
      <c r="G118" s="2">
        <f t="shared" si="2"/>
        <v>633222000000</v>
      </c>
      <c r="H118">
        <v>342995480000</v>
      </c>
      <c r="I118">
        <f t="shared" si="3"/>
        <v>926.17692804581577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Hoja1</vt:lpstr>
      <vt:lpstr>nominal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Daniela Del Pilar Gallo Montaño</dc:creator>
  <cp:keywords/>
  <dc:description/>
  <cp:lastModifiedBy>Poliana de Carvalho Pereira</cp:lastModifiedBy>
  <cp:revision/>
  <dcterms:created xsi:type="dcterms:W3CDTF">2025-10-17T13:58:38Z</dcterms:created>
  <dcterms:modified xsi:type="dcterms:W3CDTF">2025-11-21T19:37:13Z</dcterms:modified>
  <cp:category/>
  <cp:contentStatus/>
</cp:coreProperties>
</file>